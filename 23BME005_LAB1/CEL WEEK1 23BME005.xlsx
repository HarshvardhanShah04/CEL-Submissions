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3DFC7201-EA86-49F2-A9E2-A790DB6A38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8" i="1" l="1"/>
  <c r="Q28" i="1"/>
  <c r="R28" i="1" s="1"/>
  <c r="P29" i="1"/>
  <c r="Q29" i="1"/>
  <c r="R29" i="1"/>
  <c r="P30" i="1"/>
  <c r="R30" i="1" s="1"/>
  <c r="Q30" i="1"/>
  <c r="P31" i="1"/>
  <c r="Q31" i="1"/>
  <c r="R31" i="1" s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6" i="1"/>
  <c r="U6" i="1"/>
  <c r="W6" i="1" s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11" i="1"/>
  <c r="Q10" i="1"/>
  <c r="Q9" i="1"/>
  <c r="Q8" i="1"/>
  <c r="Q7" i="1"/>
  <c r="Q6" i="1"/>
  <c r="P6" i="1"/>
  <c r="P7" i="1" s="1"/>
  <c r="H6" i="2"/>
  <c r="E7" i="2"/>
  <c r="G7" i="2" s="1"/>
  <c r="U7" i="1" l="1"/>
  <c r="P8" i="1"/>
  <c r="R7" i="1"/>
  <c r="R6" i="1"/>
  <c r="E8" i="2"/>
  <c r="F7" i="2"/>
  <c r="U8" i="1" l="1"/>
  <c r="W7" i="1"/>
  <c r="P9" i="1"/>
  <c r="R8" i="1"/>
  <c r="E56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H7" i="2"/>
  <c r="F8" i="2"/>
  <c r="E9" i="2"/>
  <c r="G8" i="2"/>
  <c r="E5" i="1"/>
  <c r="F5" i="1" l="1"/>
  <c r="U9" i="1"/>
  <c r="W8" i="1"/>
  <c r="R9" i="1"/>
  <c r="P10" i="1"/>
  <c r="E13" i="1"/>
  <c r="E21" i="1"/>
  <c r="E16" i="1"/>
  <c r="E9" i="1"/>
  <c r="E11" i="1"/>
  <c r="E19" i="1"/>
  <c r="E12" i="1"/>
  <c r="E20" i="1"/>
  <c r="E6" i="1"/>
  <c r="F6" i="1" s="1"/>
  <c r="E14" i="1"/>
  <c r="E7" i="1"/>
  <c r="E15" i="1"/>
  <c r="E8" i="1"/>
  <c r="E17" i="1"/>
  <c r="E10" i="1"/>
  <c r="E18" i="1"/>
  <c r="E22" i="1"/>
  <c r="E10" i="2"/>
  <c r="G9" i="2"/>
  <c r="F9" i="2"/>
  <c r="H8" i="2"/>
  <c r="E24" i="1"/>
  <c r="E23" i="1"/>
  <c r="E25" i="1"/>
  <c r="W9" i="1" l="1"/>
  <c r="U10" i="1"/>
  <c r="P11" i="1"/>
  <c r="R10" i="1"/>
  <c r="F10" i="2"/>
  <c r="H9" i="2"/>
  <c r="F7" i="1"/>
  <c r="E11" i="2"/>
  <c r="G10" i="2"/>
  <c r="E26" i="1"/>
  <c r="R11" i="1" l="1"/>
  <c r="P12" i="1"/>
  <c r="W10" i="1"/>
  <c r="U11" i="1"/>
  <c r="E12" i="2"/>
  <c r="G11" i="2"/>
  <c r="F8" i="1"/>
  <c r="F11" i="2"/>
  <c r="H10" i="2"/>
  <c r="E27" i="1"/>
  <c r="W11" i="1" l="1"/>
  <c r="U12" i="1"/>
  <c r="R12" i="1"/>
  <c r="P13" i="1"/>
  <c r="F9" i="1"/>
  <c r="F12" i="2"/>
  <c r="H11" i="2"/>
  <c r="E13" i="2"/>
  <c r="G12" i="2"/>
  <c r="E28" i="1"/>
  <c r="P14" i="1" l="1"/>
  <c r="R13" i="1"/>
  <c r="W12" i="1"/>
  <c r="U13" i="1"/>
  <c r="E14" i="2"/>
  <c r="G13" i="2"/>
  <c r="F13" i="2"/>
  <c r="H12" i="2"/>
  <c r="F10" i="1"/>
  <c r="E29" i="1"/>
  <c r="W13" i="1" l="1"/>
  <c r="U14" i="1"/>
  <c r="P15" i="1"/>
  <c r="R14" i="1"/>
  <c r="F14" i="2"/>
  <c r="H13" i="2"/>
  <c r="F11" i="1"/>
  <c r="E15" i="2"/>
  <c r="G14" i="2"/>
  <c r="E30" i="1"/>
  <c r="R15" i="1" l="1"/>
  <c r="P16" i="1"/>
  <c r="W14" i="1"/>
  <c r="U15" i="1"/>
  <c r="F12" i="1"/>
  <c r="E16" i="2"/>
  <c r="G15" i="2"/>
  <c r="F15" i="2"/>
  <c r="H14" i="2"/>
  <c r="E31" i="1"/>
  <c r="W15" i="1" l="1"/>
  <c r="U16" i="1"/>
  <c r="R16" i="1"/>
  <c r="P17" i="1"/>
  <c r="F16" i="2"/>
  <c r="H15" i="2"/>
  <c r="E17" i="2"/>
  <c r="G16" i="2"/>
  <c r="F13" i="1"/>
  <c r="E32" i="1"/>
  <c r="R17" i="1" l="1"/>
  <c r="P18" i="1"/>
  <c r="W16" i="1"/>
  <c r="U17" i="1"/>
  <c r="F14" i="1"/>
  <c r="E18" i="2"/>
  <c r="G17" i="2"/>
  <c r="F17" i="2"/>
  <c r="H16" i="2"/>
  <c r="E33" i="1"/>
  <c r="W17" i="1" l="1"/>
  <c r="U18" i="1"/>
  <c r="R18" i="1"/>
  <c r="P19" i="1"/>
  <c r="F18" i="2"/>
  <c r="H17" i="2"/>
  <c r="E19" i="2"/>
  <c r="G18" i="2"/>
  <c r="F15" i="1"/>
  <c r="E34" i="1"/>
  <c r="P20" i="1" l="1"/>
  <c r="R19" i="1"/>
  <c r="W18" i="1"/>
  <c r="U19" i="1"/>
  <c r="F16" i="1"/>
  <c r="E20" i="2"/>
  <c r="G19" i="2"/>
  <c r="F19" i="2"/>
  <c r="H18" i="2"/>
  <c r="E35" i="1"/>
  <c r="W19" i="1" l="1"/>
  <c r="U20" i="1"/>
  <c r="R20" i="1"/>
  <c r="P21" i="1"/>
  <c r="F20" i="2"/>
  <c r="H19" i="2"/>
  <c r="E21" i="2"/>
  <c r="G20" i="2"/>
  <c r="F17" i="1"/>
  <c r="E36" i="1"/>
  <c r="P22" i="1" l="1"/>
  <c r="R21" i="1"/>
  <c r="W20" i="1"/>
  <c r="F18" i="1"/>
  <c r="E22" i="2"/>
  <c r="G21" i="2"/>
  <c r="F21" i="2"/>
  <c r="H20" i="2"/>
  <c r="E37" i="1"/>
  <c r="P23" i="1" l="1"/>
  <c r="R22" i="1"/>
  <c r="F22" i="2"/>
  <c r="H21" i="2"/>
  <c r="E23" i="2"/>
  <c r="G22" i="2"/>
  <c r="F19" i="1"/>
  <c r="E38" i="1"/>
  <c r="R23" i="1" l="1"/>
  <c r="P24" i="1"/>
  <c r="F20" i="1"/>
  <c r="E24" i="2"/>
  <c r="G23" i="2"/>
  <c r="F23" i="2"/>
  <c r="H22" i="2"/>
  <c r="E39" i="1"/>
  <c r="R24" i="1" l="1"/>
  <c r="P25" i="1"/>
  <c r="F24" i="2"/>
  <c r="H23" i="2"/>
  <c r="E25" i="2"/>
  <c r="G24" i="2"/>
  <c r="F21" i="1"/>
  <c r="E40" i="1"/>
  <c r="R25" i="1" l="1"/>
  <c r="P26" i="1"/>
  <c r="E26" i="2"/>
  <c r="G25" i="2"/>
  <c r="F22" i="1"/>
  <c r="F25" i="2"/>
  <c r="H24" i="2"/>
  <c r="E41" i="1"/>
  <c r="R26" i="1" l="1"/>
  <c r="P27" i="1"/>
  <c r="R27" i="1" s="1"/>
  <c r="F23" i="1"/>
  <c r="F26" i="2"/>
  <c r="H25" i="2"/>
  <c r="E27" i="2"/>
  <c r="G26" i="2"/>
  <c r="E42" i="1"/>
  <c r="E28" i="2" l="1"/>
  <c r="G27" i="2"/>
  <c r="F27" i="2"/>
  <c r="H26" i="2"/>
  <c r="F24" i="1"/>
  <c r="E43" i="1"/>
  <c r="F25" i="1" l="1"/>
  <c r="F28" i="2"/>
  <c r="H27" i="2"/>
  <c r="E29" i="2"/>
  <c r="G28" i="2"/>
  <c r="E44" i="1"/>
  <c r="E30" i="2" l="1"/>
  <c r="G29" i="2"/>
  <c r="F29" i="2"/>
  <c r="H28" i="2"/>
  <c r="F26" i="1"/>
  <c r="E45" i="1"/>
  <c r="F27" i="1" l="1"/>
  <c r="F30" i="2"/>
  <c r="H29" i="2"/>
  <c r="E31" i="2"/>
  <c r="G30" i="2"/>
  <c r="E46" i="1"/>
  <c r="E32" i="2" l="1"/>
  <c r="G31" i="2"/>
  <c r="F31" i="2"/>
  <c r="H30" i="2"/>
  <c r="F28" i="1"/>
  <c r="E47" i="1"/>
  <c r="F29" i="1" l="1"/>
  <c r="F32" i="2"/>
  <c r="H31" i="2"/>
  <c r="E33" i="2"/>
  <c r="G32" i="2"/>
  <c r="E48" i="1"/>
  <c r="E34" i="2" l="1"/>
  <c r="G33" i="2"/>
  <c r="F33" i="2"/>
  <c r="H32" i="2"/>
  <c r="F30" i="1"/>
  <c r="E49" i="1"/>
  <c r="F31" i="1" l="1"/>
  <c r="F34" i="2"/>
  <c r="H33" i="2"/>
  <c r="G34" i="2"/>
  <c r="E50" i="1"/>
  <c r="H34" i="2" l="1"/>
  <c r="F32" i="1"/>
  <c r="E51" i="1"/>
  <c r="F33" i="1" l="1"/>
  <c r="E52" i="1"/>
  <c r="F34" i="1" l="1"/>
  <c r="E53" i="1"/>
  <c r="F35" i="1" l="1"/>
  <c r="E54" i="1"/>
  <c r="F36" i="1" l="1"/>
  <c r="E55" i="1"/>
  <c r="F37" i="1" l="1"/>
  <c r="F38" i="1" l="1"/>
  <c r="F39" i="1" l="1"/>
  <c r="F40" i="1" l="1"/>
  <c r="F41" i="1" l="1"/>
  <c r="F42" i="1" l="1"/>
  <c r="F43" i="1" l="1"/>
  <c r="F44" i="1" l="1"/>
  <c r="F45" i="1" l="1"/>
  <c r="F46" i="1" l="1"/>
  <c r="F47" i="1" l="1"/>
  <c r="F48" i="1" l="1"/>
  <c r="F49" i="1" l="1"/>
  <c r="F50" i="1" l="1"/>
  <c r="F51" i="1" l="1"/>
  <c r="F52" i="1" l="1"/>
  <c r="F53" i="1" l="1"/>
  <c r="F54" i="1" l="1"/>
  <c r="F55" i="1" l="1"/>
  <c r="F56" i="1"/>
</calcChain>
</file>

<file path=xl/sharedStrings.xml><?xml version="1.0" encoding="utf-8"?>
<sst xmlns="http://schemas.openxmlformats.org/spreadsheetml/2006/main" count="25" uniqueCount="18">
  <si>
    <t>Time</t>
  </si>
  <si>
    <t>Numerical V</t>
  </si>
  <si>
    <t>Analytical V</t>
  </si>
  <si>
    <t>Delta T</t>
  </si>
  <si>
    <t>g</t>
  </si>
  <si>
    <t>Mass</t>
  </si>
  <si>
    <t>Cd</t>
  </si>
  <si>
    <t>Ta</t>
  </si>
  <si>
    <t>k</t>
  </si>
  <si>
    <t>C</t>
  </si>
  <si>
    <t>Delta t</t>
  </si>
  <si>
    <t>Numerical T</t>
  </si>
  <si>
    <t>Analytical T</t>
  </si>
  <si>
    <t>Rel Error</t>
  </si>
  <si>
    <t>f</t>
  </si>
  <si>
    <t>Rel Error (Δt = 0.5s)</t>
  </si>
  <si>
    <t>Rel Error (Δt=1sec)</t>
  </si>
  <si>
    <t>Rel Error (Δt=2sec)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</si>
</sst>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baseline="0">
                <a:effectLst/>
              </a:rPr>
              <a:t>Num vs Analyt Solution for a bungee jumper for </a:t>
            </a:r>
            <a:r>
              <a:rPr lang="el-GR" sz="1400" b="0" i="0" u="none" strike="noStrike" baseline="0">
                <a:effectLst/>
              </a:rPr>
              <a:t> Δ</a:t>
            </a:r>
            <a:r>
              <a:rPr lang="en-IN" sz="1400" b="0" i="0" u="none" strike="noStrike" baseline="0">
                <a:effectLst/>
              </a:rPr>
              <a:t>t = 0.5s</a:t>
            </a:r>
            <a:endParaRPr lang="en-IN" sz="105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Numerical 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Sheet1!$C$4:$C$55</c:f>
              <c:numCache>
                <c:formatCode>General</c:formatCode>
                <c:ptCount val="5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</c:numCache>
            </c:numRef>
          </c:xVal>
          <c:yVal>
            <c:numRef>
              <c:f>Sheet1!$D$4:$D$55</c:f>
              <c:numCache>
                <c:formatCode>General</c:formatCode>
                <c:ptCount val="52"/>
                <c:pt idx="0">
                  <c:v>0</c:v>
                </c:pt>
                <c:pt idx="1">
                  <c:v>4.9050000000000002</c:v>
                </c:pt>
                <c:pt idx="2">
                  <c:v>9.7724077734375001</c:v>
                </c:pt>
                <c:pt idx="3">
                  <c:v>14.528189095796343</c:v>
                </c:pt>
                <c:pt idx="4">
                  <c:v>19.103394910791319</c:v>
                </c:pt>
                <c:pt idx="5">
                  <c:v>23.438176634044996</c:v>
                </c:pt>
                <c:pt idx="6">
                  <c:v>27.484820190406413</c:v>
                </c:pt>
                <c:pt idx="7">
                  <c:v>31.209483720251768</c:v>
                </c:pt>
                <c:pt idx="8">
                  <c:v>34.592558916994484</c:v>
                </c:pt>
                <c:pt idx="9">
                  <c:v>37.627800897579277</c:v>
                </c:pt>
                <c:pt idx="10">
                  <c:v>40.320533084473233</c:v>
                </c:pt>
                <c:pt idx="11">
                  <c:v>42.685305915385577</c:v>
                </c:pt>
                <c:pt idx="12">
                  <c:v>44.743375694932375</c:v>
                </c:pt>
                <c:pt idx="13">
                  <c:v>46.520298087779459</c:v>
                </c:pt>
                <c:pt idx="14">
                  <c:v>48.043832253129679</c:v>
                </c:pt>
                <c:pt idx="15">
                  <c:v>49.342254413181458</c:v>
                </c:pt>
                <c:pt idx="16">
                  <c:v>50.443101177907828</c:v>
                </c:pt>
                <c:pt idx="17">
                  <c:v>51.372309839713068</c:v>
                </c:pt>
                <c:pt idx="18">
                  <c:v>52.153693873670129</c:v>
                </c:pt>
                <c:pt idx="19">
                  <c:v>52.808681710125605</c:v>
                </c:pt>
                <c:pt idx="20">
                  <c:v>53.356249110185985</c:v>
                </c:pt>
                <c:pt idx="21">
                  <c:v>53.812984549079388</c:v>
                </c:pt>
                <c:pt idx="22">
                  <c:v>54.193238758330239</c:v>
                </c:pt>
                <c:pt idx="23">
                  <c:v>54.509321372209321</c:v>
                </c:pt>
                <c:pt idx="24">
                  <c:v>54.771718065242453</c:v>
                </c:pt>
                <c:pt idx="25">
                  <c:v>54.989310096776194</c:v>
                </c:pt>
                <c:pt idx="26">
                  <c:v>55.169584745339613</c:v>
                </c:pt>
                <c:pt idx="27">
                  <c:v>55.318829931318973</c:v>
                </c:pt>
                <c:pt idx="28">
                  <c:v>55.442309704803051</c:v>
                </c:pt>
                <c:pt idx="29">
                  <c:v>55.544419540110397</c:v>
                </c:pt>
                <c:pt idx="30">
                  <c:v>55.628821818160716</c:v>
                </c:pt>
                <c:pt idx="31">
                  <c:v>55.698562729290913</c:v>
                </c:pt>
                <c:pt idx="32">
                  <c:v>55.756172275995986</c:v>
                </c:pt>
                <c:pt idx="33">
                  <c:v>55.803749234010759</c:v>
                </c:pt>
                <c:pt idx="34">
                  <c:v>55.843032939366452</c:v>
                </c:pt>
                <c:pt idx="35">
                  <c:v>55.875463677074002</c:v>
                </c:pt>
                <c:pt idx="36">
                  <c:v>55.90223330031148</c:v>
                </c:pt>
                <c:pt idx="37">
                  <c:v>55.924327537870148</c:v>
                </c:pt>
                <c:pt idx="38">
                  <c:v>55.942561271365491</c:v>
                </c:pt>
                <c:pt idx="39">
                  <c:v>55.95760789386474</c:v>
                </c:pt>
                <c:pt idx="40">
                  <c:v>55.970023704484248</c:v>
                </c:pt>
                <c:pt idx="41">
                  <c:v>55.980268152170922</c:v>
                </c:pt>
                <c:pt idx="42">
                  <c:v>55.988720617188172</c:v>
                </c:pt>
                <c:pt idx="43">
                  <c:v>55.995694310391997</c:v>
                </c:pt>
                <c:pt idx="44">
                  <c:v>56.001447777106264</c:v>
                </c:pt>
                <c:pt idx="45">
                  <c:v>56.006194412837573</c:v>
                </c:pt>
                <c:pt idx="46">
                  <c:v>56.010110330636699</c:v>
                </c:pt>
                <c:pt idx="47">
                  <c:v>56.013340863058424</c:v>
                </c:pt>
                <c:pt idx="48">
                  <c:v>56.016005933931595</c:v>
                </c:pt>
                <c:pt idx="49">
                  <c:v>56.018204495196812</c:v>
                </c:pt>
                <c:pt idx="50">
                  <c:v>56.020018190719171</c:v>
                </c:pt>
                <c:pt idx="51">
                  <c:v>56.021514381205876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08-D943-8C4F-DFFAF16CEEF6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Analytical 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Sheet1!$C$4:$C$55</c:f>
              <c:numCache>
                <c:formatCode>General</c:formatCode>
                <c:ptCount val="5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</c:numCache>
            </c:numRef>
          </c:xVal>
          <c:yVal>
            <c:numRef>
              <c:f>Sheet1!$E$4:$E$55</c:f>
              <c:numCache>
                <c:formatCode>General</c:formatCode>
                <c:ptCount val="52"/>
                <c:pt idx="0">
                  <c:v>0</c:v>
                </c:pt>
                <c:pt idx="1">
                  <c:v>4.8925075535713836</c:v>
                </c:pt>
                <c:pt idx="2">
                  <c:v>9.7109682621492706</c:v>
                </c:pt>
                <c:pt idx="3">
                  <c:v>14.385751167339588</c:v>
                </c:pt>
                <c:pt idx="4">
                  <c:v>18.855509005592673</c:v>
                </c:pt>
                <c:pt idx="5">
                  <c:v>23.070063583416324</c:v>
                </c:pt>
                <c:pt idx="6">
                  <c:v>26.992066864371431</c:v>
                </c:pt>
                <c:pt idx="7">
                  <c:v>30.59741198948128</c:v>
                </c:pt>
                <c:pt idx="8">
                  <c:v>33.874554055121301</c:v>
                </c:pt>
                <c:pt idx="9">
                  <c:v>36.82302019732721</c:v>
                </c:pt>
                <c:pt idx="10">
                  <c:v>39.451432456581713</c:v>
                </c:pt>
                <c:pt idx="11">
                  <c:v>41.775346634928972</c:v>
                </c:pt>
                <c:pt idx="12">
                  <c:v>43.815149109633531</c:v>
                </c:pt>
                <c:pt idx="13">
                  <c:v>45.594175921676751</c:v>
                </c:pt>
                <c:pt idx="14">
                  <c:v>47.137143605826147</c:v>
                </c:pt>
                <c:pt idx="15">
                  <c:v>48.468920468365376</c:v>
                </c:pt>
                <c:pt idx="16">
                  <c:v>49.613624448113399</c:v>
                </c:pt>
                <c:pt idx="17">
                  <c:v>50.594008442455845</c:v>
                </c:pt>
                <c:pt idx="18">
                  <c:v>51.431082591942634</c:v>
                </c:pt>
                <c:pt idx="19">
                  <c:v>52.143921310917349</c:v>
                </c:pt>
                <c:pt idx="20">
                  <c:v>52.749607017161132</c:v>
                </c:pt>
                <c:pt idx="21">
                  <c:v>53.263269596548014</c:v>
                </c:pt>
                <c:pt idx="22">
                  <c:v>53.698188617313171</c:v>
                </c:pt>
                <c:pt idx="23">
                  <c:v>54.065932959721408</c:v>
                </c:pt>
                <c:pt idx="24">
                  <c:v>54.376519222046575</c:v>
                </c:pt>
                <c:pt idx="25">
                  <c:v>54.638575769984371</c:v>
                </c:pt>
                <c:pt idx="26">
                  <c:v>54.859503617321231</c:v>
                </c:pt>
                <c:pt idx="27">
                  <c:v>55.045628586807759</c:v>
                </c:pt>
                <c:pt idx="28">
                  <c:v>55.202341576696021</c:v>
                </c:pt>
                <c:pt idx="29">
                  <c:v>55.334225431161954</c:v>
                </c:pt>
                <c:pt idx="30">
                  <c:v>55.445168046307501</c:v>
                </c:pt>
                <c:pt idx="31">
                  <c:v>55.538462076430868</c:v>
                </c:pt>
                <c:pt idx="32">
                  <c:v>55.616892049214485</c:v>
                </c:pt>
                <c:pt idx="33">
                  <c:v>55.682809939630609</c:v>
                </c:pt>
                <c:pt idx="34">
                  <c:v>55.73820035547093</c:v>
                </c:pt>
                <c:pt idx="35">
                  <c:v>55.784736499911212</c:v>
                </c:pt>
                <c:pt idx="36">
                  <c:v>55.823828032371821</c:v>
                </c:pt>
                <c:pt idx="37">
                  <c:v>55.856661871876867</c:v>
                </c:pt>
                <c:pt idx="38">
                  <c:v>55.884236893344656</c:v>
                </c:pt>
                <c:pt idx="39">
                  <c:v>55.907393367495658</c:v>
                </c:pt>
                <c:pt idx="40">
                  <c:v>55.92683789619074</c:v>
                </c:pt>
                <c:pt idx="41">
                  <c:v>55.943164501150342</c:v>
                </c:pt>
                <c:pt idx="42">
                  <c:v>55.956872437446044</c:v>
                </c:pt>
                <c:pt idx="43">
                  <c:v>55.968381224953227</c:v>
                </c:pt>
                <c:pt idx="44">
                  <c:v>55.978043321361262</c:v>
                </c:pt>
                <c:pt idx="45">
                  <c:v>55.986154799117053</c:v>
                </c:pt>
                <c:pt idx="46">
                  <c:v>55.992964335297316</c:v>
                </c:pt>
                <c:pt idx="47">
                  <c:v>55.998680777186017</c:v>
                </c:pt>
                <c:pt idx="48">
                  <c:v>56.003479506537715</c:v>
                </c:pt>
                <c:pt idx="49">
                  <c:v>56.007507791395938</c:v>
                </c:pt>
                <c:pt idx="50">
                  <c:v>56.010889285202801</c:v>
                </c:pt>
                <c:pt idx="51">
                  <c:v>56.013727808127811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08-D943-8C4F-DFFAF16CE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37152"/>
        <c:axId val="192837712"/>
      </c:scatterChart>
      <c:valAx>
        <c:axId val="19283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(sec)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7712"/>
        <c:crosses val="autoZero"/>
        <c:crossBetween val="midCat"/>
      </c:valAx>
      <c:valAx>
        <c:axId val="19283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Num vs Analyt Solution for a bungee jumper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 Δ</a:t>
            </a: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t = 1s</a:t>
            </a:r>
            <a:endParaRPr lang="en-IN" sz="105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Sheet1!$O$5:$O$31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cat>
          <c:val>
            <c:numRef>
              <c:f>Sheet1!$P$5:$P$31</c:f>
              <c:numCache>
                <c:formatCode>General</c:formatCode>
                <c:ptCount val="27"/>
                <c:pt idx="0">
                  <c:v>0</c:v>
                </c:pt>
                <c:pt idx="1">
                  <c:v>9.81</c:v>
                </c:pt>
                <c:pt idx="2">
                  <c:v>19.319262187500001</c:v>
                </c:pt>
                <c:pt idx="3">
                  <c:v>27.962906276658231</c:v>
                </c:pt>
                <c:pt idx="4">
                  <c:v>35.329393378417066</c:v>
                </c:pt>
                <c:pt idx="5">
                  <c:v>41.238874514395377</c:v>
                </c:pt>
                <c:pt idx="6">
                  <c:v>45.734359604351475</c:v>
                </c:pt>
                <c:pt idx="7">
                  <c:v>49.008010703038551</c:v>
                </c:pt>
                <c:pt idx="8">
                  <c:v>51.312432224697488</c:v>
                </c:pt>
                <c:pt idx="9">
                  <c:v>52.894414409653194</c:v>
                </c:pt>
                <c:pt idx="10">
                  <c:v>53.961229797965295</c:v>
                </c:pt>
                <c:pt idx="11">
                  <c:v>54.67181004387524</c:v>
                </c:pt>
                <c:pt idx="12">
                  <c:v>55.141163751770307</c:v>
                </c:pt>
                <c:pt idx="13">
                  <c:v>55.449451439584223</c:v>
                </c:pt>
                <c:pt idx="14">
                  <c:v>55.651196236612947</c:v>
                </c:pt>
                <c:pt idx="15">
                  <c:v>55.782897353594187</c:v>
                </c:pt>
                <c:pt idx="16">
                  <c:v>55.868735987464106</c:v>
                </c:pt>
                <c:pt idx="17">
                  <c:v>55.924624547348586</c:v>
                </c:pt>
                <c:pt idx="18">
                  <c:v>55.960988201217639</c:v>
                </c:pt>
                <c:pt idx="19">
                  <c:v>55.984637574790078</c:v>
                </c:pt>
                <c:pt idx="20">
                  <c:v>56.000013686100715</c:v>
                </c:pt>
                <c:pt idx="21">
                  <c:v>56.01000889596488</c:v>
                </c:pt>
                <c:pt idx="22">
                  <c:v>56.016505469320926</c:v>
                </c:pt>
                <c:pt idx="23">
                  <c:v>56.020727703713234</c:v>
                </c:pt>
                <c:pt idx="24">
                  <c:v>56.023471664795785</c:v>
                </c:pt>
                <c:pt idx="25">
                  <c:v>56.025254860495238</c:v>
                </c:pt>
                <c:pt idx="26">
                  <c:v>56.026413666171969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4-45BE-B803-A6C8F74ADBC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Sheet1!$O$5:$O$31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cat>
          <c:val>
            <c:numRef>
              <c:f>Sheet1!$Q$5:$Q$31</c:f>
              <c:numCache>
                <c:formatCode>General</c:formatCode>
                <c:ptCount val="27"/>
                <c:pt idx="0">
                  <c:v>0</c:v>
                </c:pt>
                <c:pt idx="1">
                  <c:v>9.7109682621492706</c:v>
                </c:pt>
                <c:pt idx="2">
                  <c:v>18.855509005592673</c:v>
                </c:pt>
                <c:pt idx="3">
                  <c:v>26.992066864371431</c:v>
                </c:pt>
                <c:pt idx="4">
                  <c:v>33.874554055121301</c:v>
                </c:pt>
                <c:pt idx="5">
                  <c:v>39.451432456581713</c:v>
                </c:pt>
                <c:pt idx="6">
                  <c:v>43.815149109633531</c:v>
                </c:pt>
                <c:pt idx="7">
                  <c:v>47.137143605826147</c:v>
                </c:pt>
                <c:pt idx="8">
                  <c:v>49.613624448113399</c:v>
                </c:pt>
                <c:pt idx="9">
                  <c:v>51.431082591942634</c:v>
                </c:pt>
                <c:pt idx="10">
                  <c:v>52.749607017161132</c:v>
                </c:pt>
                <c:pt idx="11">
                  <c:v>53.698188617313171</c:v>
                </c:pt>
                <c:pt idx="12">
                  <c:v>54.376519222046575</c:v>
                </c:pt>
                <c:pt idx="13">
                  <c:v>54.859503617321231</c:v>
                </c:pt>
                <c:pt idx="14">
                  <c:v>55.202341576696021</c:v>
                </c:pt>
                <c:pt idx="15">
                  <c:v>55.445168046307501</c:v>
                </c:pt>
                <c:pt idx="16">
                  <c:v>55.616892049214485</c:v>
                </c:pt>
                <c:pt idx="17">
                  <c:v>55.73820035547093</c:v>
                </c:pt>
                <c:pt idx="18">
                  <c:v>55.823828032371821</c:v>
                </c:pt>
                <c:pt idx="19">
                  <c:v>55.884236893344656</c:v>
                </c:pt>
                <c:pt idx="20">
                  <c:v>55.92683789619074</c:v>
                </c:pt>
                <c:pt idx="21">
                  <c:v>55.956872437446044</c:v>
                </c:pt>
                <c:pt idx="22">
                  <c:v>55.978043321361262</c:v>
                </c:pt>
                <c:pt idx="23">
                  <c:v>55.992964335297316</c:v>
                </c:pt>
                <c:pt idx="24">
                  <c:v>56.003479506537715</c:v>
                </c:pt>
                <c:pt idx="25">
                  <c:v>56.010889285202801</c:v>
                </c:pt>
                <c:pt idx="26">
                  <c:v>56.016110524471635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94-45BE-B803-A6C8F74AD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40688"/>
        <c:axId val="81636368"/>
      </c:lineChart>
      <c:catAx>
        <c:axId val="81640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36368"/>
        <c:crosses val="autoZero"/>
        <c:auto val="1"/>
        <c:lblAlgn val="ctr"/>
        <c:lblOffset val="100"/>
        <c:noMultiLvlLbl val="0"/>
      </c:catAx>
      <c:valAx>
        <c:axId val="8163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Num vs Analyt Solution for a bungee jumper for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 Δ</a:t>
            </a: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t = 2s</a:t>
            </a:r>
            <a:endParaRPr lang="en-IN" sz="105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Sheet1!$U$4</c:f>
              <c:strCache>
                <c:ptCount val="1"/>
                <c:pt idx="0">
                  <c:v>Numerical 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Sheet1!$T$5:$T$18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</c:numCache>
            </c:numRef>
          </c:cat>
          <c:val>
            <c:numRef>
              <c:f>Sheet1!$U$5:$U$18</c:f>
              <c:numCache>
                <c:formatCode>General</c:formatCode>
                <c:ptCount val="14"/>
                <c:pt idx="0">
                  <c:v>0</c:v>
                </c:pt>
                <c:pt idx="1">
                  <c:v>19.62</c:v>
                </c:pt>
                <c:pt idx="2">
                  <c:v>36.834097499999999</c:v>
                </c:pt>
                <c:pt idx="3">
                  <c:v>47.974405383503083</c:v>
                </c:pt>
                <c:pt idx="4">
                  <c:v>53.209758059123772</c:v>
                </c:pt>
                <c:pt idx="5">
                  <c:v>55.134268354683229</c:v>
                </c:pt>
                <c:pt idx="6">
                  <c:v>55.755596185894326</c:v>
                </c:pt>
                <c:pt idx="7">
                  <c:v>55.946305523116109</c:v>
                </c:pt>
                <c:pt idx="8">
                  <c:v>56.003873637579531</c:v>
                </c:pt>
                <c:pt idx="9">
                  <c:v>56.021161997492186</c:v>
                </c:pt>
                <c:pt idx="10">
                  <c:v>56.026345800309294</c:v>
                </c:pt>
                <c:pt idx="11">
                  <c:v>56.027899401960326</c:v>
                </c:pt>
                <c:pt idx="12">
                  <c:v>56.028364955734162</c:v>
                </c:pt>
                <c:pt idx="13">
                  <c:v>56.028504458153293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B4-4208-B1B3-F44B1FC7C05D}"/>
            </c:ext>
          </c:extLst>
        </c:ser>
        <c:ser>
          <c:idx val="1"/>
          <c:order val="1"/>
          <c:tx>
            <c:strRef>
              <c:f>Sheet1!$V$4</c:f>
              <c:strCache>
                <c:ptCount val="1"/>
                <c:pt idx="0">
                  <c:v>Analytical 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Sheet1!$T$5:$T$18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</c:numCache>
            </c:numRef>
          </c:cat>
          <c:val>
            <c:numRef>
              <c:f>Sheet1!$V$5:$V$18</c:f>
              <c:numCache>
                <c:formatCode>General</c:formatCode>
                <c:ptCount val="14"/>
                <c:pt idx="0">
                  <c:v>0</c:v>
                </c:pt>
                <c:pt idx="1">
                  <c:v>18.855509005592673</c:v>
                </c:pt>
                <c:pt idx="2">
                  <c:v>33.874554055121301</c:v>
                </c:pt>
                <c:pt idx="3">
                  <c:v>43.815149109633531</c:v>
                </c:pt>
                <c:pt idx="4">
                  <c:v>49.613624448113399</c:v>
                </c:pt>
                <c:pt idx="5">
                  <c:v>52.749607017161132</c:v>
                </c:pt>
                <c:pt idx="6">
                  <c:v>54.376519222046575</c:v>
                </c:pt>
                <c:pt idx="7">
                  <c:v>55.202341576696021</c:v>
                </c:pt>
                <c:pt idx="8">
                  <c:v>55.616892049214485</c:v>
                </c:pt>
                <c:pt idx="9">
                  <c:v>55.823828032371821</c:v>
                </c:pt>
                <c:pt idx="10">
                  <c:v>55.92683789619074</c:v>
                </c:pt>
                <c:pt idx="11">
                  <c:v>55.978043321361262</c:v>
                </c:pt>
                <c:pt idx="12">
                  <c:v>56.003479506537715</c:v>
                </c:pt>
                <c:pt idx="13">
                  <c:v>56.016110524471635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B4-4208-B1B3-F44B1FC7C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20048"/>
        <c:axId val="81603728"/>
      </c:lineChart>
      <c:catAx>
        <c:axId val="81620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03728"/>
        <c:crosses val="autoZero"/>
        <c:auto val="1"/>
        <c:lblAlgn val="ctr"/>
        <c:lblOffset val="100"/>
        <c:noMultiLvlLbl val="0"/>
      </c:catAx>
      <c:valAx>
        <c:axId val="8160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2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Rel Error (Δt = 0.5s)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Sheet1!$C$4:$C$56</c:f>
              <c:numCache>
                <c:formatCode>General</c:formatCode>
                <c:ptCount val="5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</c:numCache>
            </c:numRef>
          </c:xVal>
          <c:yVal>
            <c:numRef>
              <c:f>Sheet1!$F$4:$F$56</c:f>
              <c:numCache>
                <c:formatCode>General</c:formatCode>
                <c:ptCount val="53"/>
                <c:pt idx="0">
                  <c:v>0</c:v>
                </c:pt>
                <c:pt idx="1">
                  <c:v>2.5468800058341869E-3</c:v>
                </c:pt>
                <c:pt idx="2">
                  <c:v>6.2870392550778567E-3</c:v>
                </c:pt>
                <c:pt idx="3">
                  <c:v>9.8042452171804382E-3</c:v>
                </c:pt>
                <c:pt idx="4">
                  <c:v>1.2976013235145892E-2</c:v>
                </c:pt>
                <c:pt idx="5">
                  <c:v>1.5705703407575291E-2</c:v>
                </c:pt>
                <c:pt idx="6">
                  <c:v>1.7928199006627604E-2</c:v>
                </c:pt>
                <c:pt idx="7">
                  <c:v>1.9611722393642669E-2</c:v>
                </c:pt>
                <c:pt idx="8">
                  <c:v>2.0756049403458408E-2</c:v>
                </c:pt>
                <c:pt idx="9">
                  <c:v>2.1387928102485555E-2</c:v>
                </c:pt>
                <c:pt idx="10">
                  <c:v>2.1554790113283394E-2</c:v>
                </c:pt>
                <c:pt idx="11">
                  <c:v>2.1317857771955589E-2</c:v>
                </c:pt>
                <c:pt idx="12">
                  <c:v>2.0745564474787162E-2</c:v>
                </c:pt>
                <c:pt idx="13">
                  <c:v>1.9907915558821265E-2</c:v>
                </c:pt>
                <c:pt idx="14">
                  <c:v>1.8872113334474246E-2</c:v>
                </c:pt>
                <c:pt idx="15">
                  <c:v>1.769951444664386E-2</c:v>
                </c:pt>
                <c:pt idx="16">
                  <c:v>1.644380917162382E-2</c:v>
                </c:pt>
                <c:pt idx="17">
                  <c:v>1.5150212238569855E-2</c:v>
                </c:pt>
                <c:pt idx="18">
                  <c:v>1.3855419013614808E-2</c:v>
                </c:pt>
                <c:pt idx="19">
                  <c:v>1.2588089262618217E-2</c:v>
                </c:pt>
                <c:pt idx="20">
                  <c:v>1.1369654035688979E-2</c:v>
                </c:pt>
                <c:pt idx="21">
                  <c:v>1.0215284603477337E-2</c:v>
                </c:pt>
                <c:pt idx="22">
                  <c:v>9.1349059838386464E-3</c:v>
                </c:pt>
                <c:pt idx="23">
                  <c:v>8.1341759780918337E-3</c:v>
                </c:pt>
                <c:pt idx="24">
                  <c:v>7.2153815355057689E-3</c:v>
                </c:pt>
                <c:pt idx="25">
                  <c:v>6.3782274441079997E-3</c:v>
                </c:pt>
                <c:pt idx="26">
                  <c:v>5.6205086452925622E-3</c:v>
                </c:pt>
                <c:pt idx="27">
                  <c:v>4.9386681686942272E-3</c:v>
                </c:pt>
                <c:pt idx="28">
                  <c:v>4.3282491184930064E-3</c:v>
                </c:pt>
                <c:pt idx="29">
                  <c:v>3.7842525079707571E-3</c:v>
                </c:pt>
                <c:pt idx="30">
                  <c:v>3.3014140125696423E-3</c:v>
                </c:pt>
                <c:pt idx="31">
                  <c:v>2.8744126421748916E-3</c:v>
                </c:pt>
                <c:pt idx="32">
                  <c:v>2.498023467107049E-3</c:v>
                </c:pt>
                <c:pt idx="33">
                  <c:v>2.1672252499199715E-3</c:v>
                </c:pt>
                <c:pt idx="34">
                  <c:v>1.8772723897240301E-3</c:v>
                </c:pt>
                <c:pt idx="35">
                  <c:v>1.6237391368622554E-3</c:v>
                </c:pt>
                <c:pt idx="36">
                  <c:v>1.4025426769348982E-3</c:v>
                </c:pt>
                <c:pt idx="37">
                  <c:v>1.2099504629261874E-3</c:v>
                </c:pt>
                <c:pt idx="38">
                  <c:v>1.0425761119144282E-3</c:v>
                </c:pt>
                <c:pt idx="39">
                  <c:v>8.9736727960788442E-4</c:v>
                </c:pt>
                <c:pt idx="40">
                  <c:v>7.7158817229602025E-4</c:v>
                </c:pt>
                <c:pt idx="41">
                  <c:v>6.6279873686423015E-4</c:v>
                </c:pt>
                <c:pt idx="42">
                  <c:v>5.6883206815677581E-4</c:v>
                </c:pt>
                <c:pt idx="43">
                  <c:v>4.8777117196493596E-4</c:v>
                </c:pt>
                <c:pt idx="44">
                  <c:v>4.1792590502579517E-4</c:v>
                </c:pt>
                <c:pt idx="45">
                  <c:v>3.5781066595603041E-4</c:v>
                </c:pt>
                <c:pt idx="46">
                  <c:v>3.0612322022163454E-4</c:v>
                </c:pt>
                <c:pt idx="47">
                  <c:v>2.6172489707850313E-4</c:v>
                </c:pt>
                <c:pt idx="48">
                  <c:v>2.2362228768423842E-4</c:v>
                </c:pt>
                <c:pt idx="49">
                  <c:v>1.9095049363447377E-4</c:v>
                </c:pt>
                <c:pt idx="50">
                  <c:v>1.6295791774452326E-4</c:v>
                </c:pt>
                <c:pt idx="51">
                  <c:v>1.3899254891753962E-4</c:v>
                </c:pt>
                <c:pt idx="52">
                  <c:v>1.1848966628771342E-4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00-4F72-984A-54286B6E0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867760"/>
        <c:axId val="1011857680"/>
      </c:scatterChart>
      <c:valAx>
        <c:axId val="101186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57680"/>
        <c:crosses val="autoZero"/>
        <c:crossBetween val="midCat"/>
      </c:valAx>
      <c:valAx>
        <c:axId val="101185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6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Sheet1!$R$4</c:f>
              <c:strCache>
                <c:ptCount val="1"/>
                <c:pt idx="0">
                  <c:v>Rel Error (Δt=1sec)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Sheet1!$O$5:$O$31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xVal>
          <c:yVal>
            <c:numRef>
              <c:f>Sheet1!$R$5:$R$31</c:f>
              <c:numCache>
                <c:formatCode>General</c:formatCode>
                <c:ptCount val="27"/>
                <c:pt idx="0">
                  <c:v>0</c:v>
                </c:pt>
                <c:pt idx="1">
                  <c:v>1.009497837418246E-2</c:v>
                </c:pt>
                <c:pt idx="2">
                  <c:v>2.4004704600333424E-2</c:v>
                </c:pt>
                <c:pt idx="3">
                  <c:v>3.4718830821143902E-2</c:v>
                </c:pt>
                <c:pt idx="4">
                  <c:v>4.1179289655863011E-2</c:v>
                </c:pt>
                <c:pt idx="5">
                  <c:v>4.3343618827175218E-2</c:v>
                </c:pt>
                <c:pt idx="6">
                  <c:v>4.1964302360873944E-2</c:v>
                </c:pt>
                <c:pt idx="7">
                  <c:v>3.8174720221737304E-2</c:v>
                </c:pt>
                <c:pt idx="8">
                  <c:v>3.3107138035184128E-2</c:v>
                </c:pt>
                <c:pt idx="9">
                  <c:v>2.7665148277801969E-2</c:v>
                </c:pt>
                <c:pt idx="10">
                  <c:v>2.2453579826489597E-2</c:v>
                </c:pt>
                <c:pt idx="11">
                  <c:v>1.7808472515922151E-2</c:v>
                </c:pt>
                <c:pt idx="12">
                  <c:v>1.3867036487766967E-2</c:v>
                </c:pt>
                <c:pt idx="13">
                  <c:v>1.0639380678198031E-2</c:v>
                </c:pt>
                <c:pt idx="14">
                  <c:v>8.0654988620284807E-3</c:v>
                </c:pt>
                <c:pt idx="15">
                  <c:v>6.054352199490509E-3</c:v>
                </c:pt>
                <c:pt idx="16">
                  <c:v>4.5077794189961658E-3</c:v>
                </c:pt>
                <c:pt idx="17">
                  <c:v>3.3334902717106242E-3</c:v>
                </c:pt>
                <c:pt idx="18">
                  <c:v>2.450996189571088E-3</c:v>
                </c:pt>
                <c:pt idx="19">
                  <c:v>1.7933612825714168E-3</c:v>
                </c:pt>
                <c:pt idx="20">
                  <c:v>1.3067102147536992E-3</c:v>
                </c:pt>
                <c:pt idx="21">
                  <c:v>9.4869577002805548E-4</c:v>
                </c:pt>
                <c:pt idx="22">
                  <c:v>6.866216954702414E-4</c:v>
                </c:pt>
                <c:pt idx="23">
                  <c:v>4.9559099915223303E-4</c:v>
                </c:pt>
                <c:pt idx="24">
                  <c:v>3.5685325567984624E-4</c:v>
                </c:pt>
                <c:pt idx="25">
                  <c:v>2.5641249340512939E-4</c:v>
                </c:pt>
                <c:pt idx="26">
                  <c:v>1.8389793360188865E-4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D2-4589-86FF-A07FE4351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867760"/>
        <c:axId val="1011857680"/>
      </c:scatterChart>
      <c:valAx>
        <c:axId val="101186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57680"/>
        <c:crosses val="autoZero"/>
        <c:crossBetween val="midCat"/>
      </c:valAx>
      <c:valAx>
        <c:axId val="101185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6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Sheet1!$W$4</c:f>
              <c:strCache>
                <c:ptCount val="1"/>
                <c:pt idx="0">
                  <c:v>Rel Error (Δt=2sec)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Sheet1!$T$5:$T$18</c:f>
              <c:numCache>
                <c:formatCode>General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</c:numCache>
            </c:numRef>
          </c:xVal>
          <c:yVal>
            <c:numRef>
              <c:f>Sheet1!$W$5:$W$18</c:f>
              <c:numCache>
                <c:formatCode>General</c:formatCode>
                <c:ptCount val="14"/>
                <c:pt idx="0">
                  <c:v>0</c:v>
                </c:pt>
                <c:pt idx="1">
                  <c:v>3.8964882487631414E-2</c:v>
                </c:pt>
                <c:pt idx="2">
                  <c:v>8.0347928841712421E-2</c:v>
                </c:pt>
                <c:pt idx="3">
                  <c:v>8.6697401262628093E-2</c:v>
                </c:pt>
                <c:pt idx="4">
                  <c:v>6.7584100025686003E-2</c:v>
                </c:pt>
                <c:pt idx="5">
                  <c:v>4.3251890497238064E-2</c:v>
                </c:pt>
                <c:pt idx="6">
                  <c:v>2.4734323694607818E-2</c:v>
                </c:pt>
                <c:pt idx="7">
                  <c:v>1.3297820820584732E-2</c:v>
                </c:pt>
                <c:pt idx="8">
                  <c:v>6.9099075337062926E-3</c:v>
                </c:pt>
                <c:pt idx="9">
                  <c:v>3.5224896821882817E-3</c:v>
                </c:pt>
                <c:pt idx="10">
                  <c:v>1.7760912780787506E-3</c:v>
                </c:pt>
                <c:pt idx="11">
                  <c:v>8.8984383014936242E-4</c:v>
                </c:pt>
                <c:pt idx="12">
                  <c:v>4.4415804773363562E-4</c:v>
                </c:pt>
                <c:pt idx="13">
                  <c:v>2.2120764781281024E-4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01-4BD8-84DC-44321130F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867760"/>
        <c:axId val="1011857680"/>
      </c:scatterChart>
      <c:valAx>
        <c:axId val="101186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57680"/>
        <c:crosses val="autoZero"/>
        <c:crossBetween val="midCat"/>
      </c:valAx>
      <c:valAx>
        <c:axId val="101185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6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Num</a:t>
            </a:r>
            <a:r>
              <a:rPr lang="en-IN" sz="1100" baseline="0"/>
              <a:t> vs Analyt Solution for a cup of coffee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Sheet2!$F$5</c:f>
              <c:strCache>
                <c:ptCount val="1"/>
                <c:pt idx="0">
                  <c:v>Numerical 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Sheet2!$E$5:$E$34</c:f>
              <c:strCache>
                <c:ptCount val="30"/>
                <c:pt idx="0">
                  <c:v>Time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  <c:pt idx="12">
                  <c:v>22</c:v>
                </c:pt>
                <c:pt idx="13">
                  <c:v>24</c:v>
                </c:pt>
                <c:pt idx="14">
                  <c:v>26</c:v>
                </c:pt>
                <c:pt idx="15">
                  <c:v>28</c:v>
                </c:pt>
                <c:pt idx="16">
                  <c:v>30</c:v>
                </c:pt>
                <c:pt idx="17">
                  <c:v>32</c:v>
                </c:pt>
                <c:pt idx="18">
                  <c:v>34</c:v>
                </c:pt>
                <c:pt idx="19">
                  <c:v>36</c:v>
                </c:pt>
                <c:pt idx="20">
                  <c:v>38</c:v>
                </c:pt>
                <c:pt idx="21">
                  <c:v>40</c:v>
                </c:pt>
                <c:pt idx="22">
                  <c:v>42</c:v>
                </c:pt>
                <c:pt idx="23">
                  <c:v>44</c:v>
                </c:pt>
                <c:pt idx="24">
                  <c:v>46</c:v>
                </c:pt>
                <c:pt idx="25">
                  <c:v>48</c:v>
                </c:pt>
                <c:pt idx="26">
                  <c:v>50</c:v>
                </c:pt>
                <c:pt idx="27">
                  <c:v>52</c:v>
                </c:pt>
                <c:pt idx="28">
                  <c:v>54</c:v>
                </c:pt>
                <c:pt idx="29">
                  <c:v>56</c:v>
                </c:pt>
              </c:strCache>
            </c:strRef>
          </c:cat>
          <c:val>
            <c:numRef>
              <c:f>Sheet2!$F$6:$F$34</c:f>
              <c:numCache>
                <c:formatCode>General</c:formatCode>
                <c:ptCount val="29"/>
                <c:pt idx="0">
                  <c:v>70</c:v>
                </c:pt>
                <c:pt idx="1">
                  <c:v>51</c:v>
                </c:pt>
                <c:pt idx="2">
                  <c:v>39.22</c:v>
                </c:pt>
                <c:pt idx="3">
                  <c:v>31.916399999999999</c:v>
                </c:pt>
                <c:pt idx="4">
                  <c:v>27.388168</c:v>
                </c:pt>
                <c:pt idx="5">
                  <c:v>24.580664160000001</c:v>
                </c:pt>
                <c:pt idx="6">
                  <c:v>22.840011779200001</c:v>
                </c:pt>
                <c:pt idx="7">
                  <c:v>21.760807303104002</c:v>
                </c:pt>
                <c:pt idx="8">
                  <c:v>21.09170052792448</c:v>
                </c:pt>
                <c:pt idx="9">
                  <c:v>20.676854327313176</c:v>
                </c:pt>
                <c:pt idx="10">
                  <c:v>20.419649682934168</c:v>
                </c:pt>
                <c:pt idx="11">
                  <c:v>20.260182803419184</c:v>
                </c:pt>
                <c:pt idx="12">
                  <c:v>20.161313338119893</c:v>
                </c:pt>
                <c:pt idx="13">
                  <c:v>20.100014269634332</c:v>
                </c:pt>
                <c:pt idx="14">
                  <c:v>20.062008847173285</c:v>
                </c:pt>
                <c:pt idx="15">
                  <c:v>20.038445485247436</c:v>
                </c:pt>
                <c:pt idx="16">
                  <c:v>20.02383620085341</c:v>
                </c:pt>
                <c:pt idx="17">
                  <c:v>20.014778444529114</c:v>
                </c:pt>
                <c:pt idx="18">
                  <c:v>20.00916263560805</c:v>
                </c:pt>
                <c:pt idx="19">
                  <c:v>20.00568083407699</c:v>
                </c:pt>
                <c:pt idx="20">
                  <c:v>20.003522117127734</c:v>
                </c:pt>
                <c:pt idx="21">
                  <c:v>20.002183712619196</c:v>
                </c:pt>
                <c:pt idx="22">
                  <c:v>20.001353901823901</c:v>
                </c:pt>
                <c:pt idx="23">
                  <c:v>20.00083941913082</c:v>
                </c:pt>
                <c:pt idx="24">
                  <c:v>20.000520439861109</c:v>
                </c:pt>
                <c:pt idx="25">
                  <c:v>20.000322672713889</c:v>
                </c:pt>
                <c:pt idx="26">
                  <c:v>20.000200057082612</c:v>
                </c:pt>
                <c:pt idx="27">
                  <c:v>20.00012403539122</c:v>
                </c:pt>
                <c:pt idx="28">
                  <c:v>20.000076901942556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B5D-4266-93D5-E8D14B3BBE1B}"/>
            </c:ext>
          </c:extLst>
        </c:ser>
        <c:ser>
          <c:idx val="1"/>
          <c:order val="1"/>
          <c:tx>
            <c:strRef>
              <c:f>Sheet2!$G$5</c:f>
              <c:strCache>
                <c:ptCount val="1"/>
                <c:pt idx="0">
                  <c:v>Analytical 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Sheet2!$E$5:$E$34</c:f>
              <c:strCache>
                <c:ptCount val="30"/>
                <c:pt idx="0">
                  <c:v>Time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  <c:pt idx="12">
                  <c:v>22</c:v>
                </c:pt>
                <c:pt idx="13">
                  <c:v>24</c:v>
                </c:pt>
                <c:pt idx="14">
                  <c:v>26</c:v>
                </c:pt>
                <c:pt idx="15">
                  <c:v>28</c:v>
                </c:pt>
                <c:pt idx="16">
                  <c:v>30</c:v>
                </c:pt>
                <c:pt idx="17">
                  <c:v>32</c:v>
                </c:pt>
                <c:pt idx="18">
                  <c:v>34</c:v>
                </c:pt>
                <c:pt idx="19">
                  <c:v>36</c:v>
                </c:pt>
                <c:pt idx="20">
                  <c:v>38</c:v>
                </c:pt>
                <c:pt idx="21">
                  <c:v>40</c:v>
                </c:pt>
                <c:pt idx="22">
                  <c:v>42</c:v>
                </c:pt>
                <c:pt idx="23">
                  <c:v>44</c:v>
                </c:pt>
                <c:pt idx="24">
                  <c:v>46</c:v>
                </c:pt>
                <c:pt idx="25">
                  <c:v>48</c:v>
                </c:pt>
                <c:pt idx="26">
                  <c:v>50</c:v>
                </c:pt>
                <c:pt idx="27">
                  <c:v>52</c:v>
                </c:pt>
                <c:pt idx="28">
                  <c:v>54</c:v>
                </c:pt>
                <c:pt idx="29">
                  <c:v>56</c:v>
                </c:pt>
              </c:strCache>
            </c:strRef>
          </c:cat>
          <c:val>
            <c:numRef>
              <c:f>Sheet2!$G$6:$G$34</c:f>
              <c:numCache>
                <c:formatCode>General</c:formatCode>
                <c:ptCount val="29"/>
                <c:pt idx="0">
                  <c:v>70</c:v>
                </c:pt>
                <c:pt idx="1">
                  <c:v>54.19307046061779</c:v>
                </c:pt>
                <c:pt idx="2">
                  <c:v>43.383321350495464</c:v>
                </c:pt>
                <c:pt idx="3">
                  <c:v>35.990951090815194</c:v>
                </c:pt>
                <c:pt idx="4">
                  <c:v>30.935594347610738</c:v>
                </c:pt>
                <c:pt idx="5">
                  <c:v>27.478430961131753</c:v>
                </c:pt>
                <c:pt idx="6">
                  <c:v>25.114210335776871</c:v>
                </c:pt>
                <c:pt idx="7">
                  <c:v>23.497411087232766</c:v>
                </c:pt>
                <c:pt idx="8">
                  <c:v>22.391744474709917</c:v>
                </c:pt>
                <c:pt idx="9">
                  <c:v>21.635621746950992</c:v>
                </c:pt>
                <c:pt idx="10">
                  <c:v>21.118538592808282</c:v>
                </c:pt>
                <c:pt idx="11">
                  <c:v>20.764925378336276</c:v>
                </c:pt>
                <c:pt idx="12">
                  <c:v>20.523102947171338</c:v>
                </c:pt>
                <c:pt idx="13">
                  <c:v>20.357729918615728</c:v>
                </c:pt>
                <c:pt idx="14">
                  <c:v>20.244637686261974</c:v>
                </c:pt>
                <c:pt idx="15">
                  <c:v>20.167298272873563</c:v>
                </c:pt>
                <c:pt idx="16">
                  <c:v>20.114408832646109</c:v>
                </c:pt>
                <c:pt idx="17">
                  <c:v>20.07823978551971</c:v>
                </c:pt>
                <c:pt idx="18">
                  <c:v>20.053505169981982</c:v>
                </c:pt>
                <c:pt idx="19">
                  <c:v>20.036590120944023</c:v>
                </c:pt>
                <c:pt idx="20">
                  <c:v>20.025022571672032</c:v>
                </c:pt>
                <c:pt idx="21">
                  <c:v>20.01711197112575</c:v>
                </c:pt>
                <c:pt idx="22">
                  <c:v>20.011702216688459</c:v>
                </c:pt>
                <c:pt idx="23">
                  <c:v>20.008002694395476</c:v>
                </c:pt>
                <c:pt idx="24">
                  <c:v>20.005472733866785</c:v>
                </c:pt>
                <c:pt idx="25">
                  <c:v>20.003742591494387</c:v>
                </c:pt>
                <c:pt idx="26">
                  <c:v>20.002559413893458</c:v>
                </c:pt>
                <c:pt idx="27">
                  <c:v>20.001750284391935</c:v>
                </c:pt>
                <c:pt idx="28">
                  <c:v>20.001196951950792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B5D-4266-93D5-E8D14B3BB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65328"/>
        <c:axId val="194564768"/>
      </c:lineChart>
      <c:catAx>
        <c:axId val="19456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Stamp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64768"/>
        <c:crosses val="autoZero"/>
        <c:auto val="1"/>
        <c:lblAlgn val="ctr"/>
        <c:lblOffset val="100"/>
        <c:noMultiLvlLbl val="0"/>
      </c:catAx>
      <c:valAx>
        <c:axId val="1945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Temperature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6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/>
              <a:t>Relative Error between</a:t>
            </a:r>
            <a:r>
              <a:rPr lang="en-IN" sz="1000" baseline="0"/>
              <a:t> Num and Analyt Solution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Sheet2!$H$5</c:f>
              <c:strCache>
                <c:ptCount val="1"/>
                <c:pt idx="0">
                  <c:v>Rel 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Sheet2!$E$6:$E$34</c:f>
              <c:numCache>
                <c:formatCode>General</c:formatCode>
                <c:ptCount val="2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</c:numCache>
            </c:numRef>
          </c:xVal>
          <c:yVal>
            <c:numRef>
              <c:f>Sheet2!$H$6:$H$34</c:f>
              <c:numCache>
                <c:formatCode>General</c:formatCode>
                <c:ptCount val="29"/>
                <c:pt idx="0">
                  <c:v>0</c:v>
                </c:pt>
                <c:pt idx="1">
                  <c:v>6.2609224717995876E-2</c:v>
                </c:pt>
                <c:pt idx="2">
                  <c:v>0.10615301760569774</c:v>
                </c:pt>
                <c:pt idx="3">
                  <c:v>0.12766324180719615</c:v>
                </c:pt>
                <c:pt idx="4">
                  <c:v>0.1295240465740804</c:v>
                </c:pt>
                <c:pt idx="5">
                  <c:v>0.11788805958495109</c:v>
                </c:pt>
                <c:pt idx="6">
                  <c:v>9.9570813647650691E-2</c:v>
                </c:pt>
                <c:pt idx="7">
                  <c:v>7.9804198435278265E-2</c:v>
                </c:pt>
                <c:pt idx="8">
                  <c:v>6.1637701761611659E-2</c:v>
                </c:pt>
                <c:pt idx="9">
                  <c:v>4.6369114201831381E-2</c:v>
                </c:pt>
                <c:pt idx="10">
                  <c:v>3.4226292846650262E-2</c:v>
                </c:pt>
                <c:pt idx="11">
                  <c:v>2.4913031625356793E-2</c:v>
                </c:pt>
                <c:pt idx="12">
                  <c:v>1.7944744123756757E-2</c:v>
                </c:pt>
                <c:pt idx="13">
                  <c:v>1.282166497616543E-2</c:v>
                </c:pt>
                <c:pt idx="14">
                  <c:v>9.10321795189626E-3</c:v>
                </c:pt>
                <c:pt idx="15">
                  <c:v>6.4302786222109583E-3</c:v>
                </c:pt>
                <c:pt idx="16">
                  <c:v>4.5232407458886239E-3</c:v>
                </c:pt>
                <c:pt idx="17">
                  <c:v>3.1707241309954465E-3</c:v>
                </c:pt>
                <c:pt idx="18">
                  <c:v>2.2161114476135393E-3</c:v>
                </c:pt>
                <c:pt idx="19">
                  <c:v>1.545025491678485E-3</c:v>
                </c:pt>
                <c:pt idx="20">
                  <c:v>1.0748334427510273E-3</c:v>
                </c:pt>
                <c:pt idx="21">
                  <c:v>7.4633143665889397E-4</c:v>
                </c:pt>
                <c:pt idx="22">
                  <c:v>5.1738071909293874E-4</c:v>
                </c:pt>
                <c:pt idx="23">
                  <c:v>3.5814873138794801E-4</c:v>
                </c:pt>
                <c:pt idx="24">
                  <c:v>2.4760825702345999E-4</c:v>
                </c:pt>
                <c:pt idx="25">
                  <c:v>1.7099318028322136E-4</c:v>
                </c:pt>
                <c:pt idx="26">
                  <c:v>1.1796666053900139E-4</c:v>
                </c:pt>
                <c:pt idx="27">
                  <c:v>8.1311945757803013E-5</c:v>
                </c:pt>
                <c:pt idx="28">
                  <c:v>5.6002285077574824E-5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AD-4C03-9CAC-04304D2AF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546416"/>
        <c:axId val="238651968"/>
      </c:scatterChart>
      <c:valAx>
        <c:axId val="24454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Stamp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651968"/>
        <c:crosses val="autoZero"/>
        <c:crossBetween val="midCat"/>
      </c:valAx>
      <c:valAx>
        <c:axId val="2386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Relative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54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19243</xdr:colOff>
      <xdr:row>11</xdr:row>
      <xdr:rowOff>115454</xdr:rowOff>
    </xdr:from>
    <xdr:to>
      <xdr:col>13</xdr:col>
      <xdr:colOff>299357</xdr:colOff>
      <xdr:row>31</xdr:row>
      <xdr:rowOff>27213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34395F-B5E9-3C95-AFA8-5B38BE6EA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802106</xdr:colOff>
      <xdr:row>40</xdr:row>
      <xdr:rowOff>127333</xdr:rowOff>
    </xdr:from>
    <xdr:to>
      <xdr:col>18</xdr:col>
      <xdr:colOff>772027</xdr:colOff>
      <xdr:row>54</xdr:row>
      <xdr:rowOff>63165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5C2C96-C722-E946-6CF0-274F934E3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70184</xdr:colOff>
      <xdr:row>29</xdr:row>
      <xdr:rowOff>187492</xdr:rowOff>
    </xdr:from>
    <xdr:to>
      <xdr:col>24</xdr:col>
      <xdr:colOff>190500</xdr:colOff>
      <xdr:row>43</xdr:row>
      <xdr:rowOff>123323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FF5501E-E2E5-B44F-2956-FF11640C8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481263</xdr:colOff>
      <xdr:row>34</xdr:row>
      <xdr:rowOff>97255</xdr:rowOff>
    </xdr:from>
    <xdr:to>
      <xdr:col>12</xdr:col>
      <xdr:colOff>641684</xdr:colOff>
      <xdr:row>48</xdr:row>
      <xdr:rowOff>33087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661831A-0B2F-F7EF-CA0A-B6C5DE265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250658</xdr:colOff>
      <xdr:row>58</xdr:row>
      <xdr:rowOff>130342</xdr:rowOff>
    </xdr:from>
    <xdr:to>
      <xdr:col>18</xdr:col>
      <xdr:colOff>220579</xdr:colOff>
      <xdr:row>72</xdr:row>
      <xdr:rowOff>66173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A618493-B823-4E22-9C96-A0FB084D0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46</xdr:row>
      <xdr:rowOff>0</xdr:rowOff>
    </xdr:from>
    <xdr:to>
      <xdr:col>27</xdr:col>
      <xdr:colOff>150395</xdr:colOff>
      <xdr:row>59</xdr:row>
      <xdr:rowOff>136358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4AD4907-80C0-4699-B334-A4ECB9B47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212271</xdr:colOff>
      <xdr:row>42</xdr:row>
      <xdr:rowOff>80962</xdr:rowOff>
    </xdr:from>
    <xdr:to>
      <xdr:col>16</xdr:col>
      <xdr:colOff>459921</xdr:colOff>
      <xdr:row>58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268431</xdr:colOff>
      <xdr:row>26</xdr:row>
      <xdr:rowOff>5195</xdr:rowOff>
    </xdr:from>
    <xdr:to>
      <xdr:col>16</xdr:col>
      <xdr:colOff>268431</xdr:colOff>
      <xdr:row>40</xdr:row>
      <xdr:rowOff>81395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56"/>
  <sheetViews>
    <sheetView tabSelected="1" topLeftCell="I3" zoomScale="76" zoomScaleNormal="92" workbookViewId="0">
      <selection activeCell="Y21" sqref="Y21"/>
    </sheetView>
  </sheetViews>
  <sheetFormatPr defaultColWidth="11.59765625" defaultRowHeight="15.6" x14ac:dyDescent="0.3"/>
  <cols>
    <col min="3" max="3" width="11.69921875" bestFit="1" customWidth="1"/>
    <col min="4" max="4" width="13" customWidth="1"/>
    <col min="5" max="5" width="12.3984375" customWidth="1"/>
    <col min="6" max="6" width="13.69921875" bestFit="1" customWidth="1"/>
    <col min="15" max="17" width="11.69921875" bestFit="1" customWidth="1"/>
    <col min="18" max="18" width="13.69921875" bestFit="1" customWidth="1"/>
    <col min="20" max="23" width="11.69921875" bestFit="1" customWidth="1"/>
  </cols>
  <sheetData>
    <row r="1" spans="2:23" x14ac:dyDescent="0.3">
      <c r="B1" s="1"/>
      <c r="C1" s="1"/>
    </row>
    <row r="2" spans="2:23" x14ac:dyDescent="0.3">
      <c r="C2" s="1"/>
      <c r="D2" s="1"/>
      <c r="E2" s="1"/>
      <c r="F2" s="1"/>
    </row>
    <row r="3" spans="2:23" x14ac:dyDescent="0.3">
      <c r="C3" t="s">
        <v>0</v>
      </c>
      <c r="D3" t="s">
        <v>1</v>
      </c>
      <c r="E3" t="s">
        <v>2</v>
      </c>
      <c r="F3" t="s">
        <v>15</v>
      </c>
      <c r="O3" s="1"/>
      <c r="P3" s="1"/>
      <c r="Q3" s="1"/>
      <c r="R3" s="1"/>
      <c r="T3" s="1"/>
      <c r="U3" s="1"/>
      <c r="V3" s="1"/>
      <c r="W3" s="1"/>
    </row>
    <row r="4" spans="2:23" x14ac:dyDescent="0.3">
      <c r="C4">
        <v>0</v>
      </c>
      <c r="D4">
        <v>0</v>
      </c>
      <c r="E4">
        <v>0</v>
      </c>
      <c r="F4">
        <v>0</v>
      </c>
      <c r="H4" t="s">
        <v>3</v>
      </c>
      <c r="I4" t="s">
        <v>14</v>
      </c>
      <c r="O4" t="s">
        <v>0</v>
      </c>
      <c r="P4" t="s">
        <v>1</v>
      </c>
      <c r="Q4" t="s">
        <v>2</v>
      </c>
      <c r="R4" t="s">
        <v>16</v>
      </c>
      <c r="T4" t="s">
        <v>0</v>
      </c>
      <c r="U4" t="s">
        <v>1</v>
      </c>
      <c r="V4" t="s">
        <v>2</v>
      </c>
      <c r="W4" t="s">
        <v>17</v>
      </c>
    </row>
    <row r="5" spans="2:23" x14ac:dyDescent="0.3">
      <c r="C5">
        <v>0.5</v>
      </c>
      <c r="D5">
        <f>D4+(C5-C4)*($I$5-$I$7/$I$6*D4^2)</f>
        <v>4.9050000000000002</v>
      </c>
      <c r="E5">
        <f>SQRT($I$5*$I$6/$I$7)*TANH(SQRT($I$5*$I$7/$I$6)*C5)</f>
        <v>4.8925075535713836</v>
      </c>
      <c r="F5">
        <f t="shared" ref="F5:F55" si="0">ABS(D5-E5)/D5</f>
        <v>2.5468800058341869E-3</v>
      </c>
      <c r="H5" t="s">
        <v>4</v>
      </c>
      <c r="I5">
        <v>9.81</v>
      </c>
      <c r="O5">
        <v>0</v>
      </c>
      <c r="P5">
        <v>0</v>
      </c>
      <c r="Q5">
        <v>0</v>
      </c>
      <c r="R5">
        <v>0</v>
      </c>
      <c r="T5">
        <v>0</v>
      </c>
      <c r="U5">
        <v>0</v>
      </c>
      <c r="V5">
        <v>0</v>
      </c>
      <c r="W5">
        <v>0</v>
      </c>
    </row>
    <row r="6" spans="2:23" x14ac:dyDescent="0.3">
      <c r="C6">
        <v>1</v>
      </c>
      <c r="D6">
        <f t="shared" ref="D6:D56" si="1">D5+(C6-C5)*($I$5-$I$7/$I$6*D5^2)</f>
        <v>9.7724077734375001</v>
      </c>
      <c r="E6">
        <f t="shared" ref="E6:E55" si="2">SQRT($I$5*$I$6/$I$7)*TANH(SQRT($I$5*$I$7/$I$6)*C6)</f>
        <v>9.7109682621492706</v>
      </c>
      <c r="F6">
        <f t="shared" si="0"/>
        <v>6.2870392550778567E-3</v>
      </c>
      <c r="H6" t="s">
        <v>5</v>
      </c>
      <c r="I6">
        <v>80</v>
      </c>
      <c r="O6">
        <v>1</v>
      </c>
      <c r="P6">
        <f t="shared" ref="P6:P11" si="3">P5+(O6-O5)*($I$5-$I$7/$I$6*P5^2)</f>
        <v>9.81</v>
      </c>
      <c r="Q6">
        <f t="shared" ref="Q6:Q11" si="4">SQRT($I$5*$I$6/$I$7)*TANH(SQRT($I$5*$I$7/$I$6)*O6)</f>
        <v>9.7109682621492706</v>
      </c>
      <c r="R6">
        <f t="shared" ref="R6:R11" si="5">ABS(P6-Q6)/P6</f>
        <v>1.009497837418246E-2</v>
      </c>
      <c r="T6">
        <v>2</v>
      </c>
      <c r="U6">
        <f t="shared" ref="U6:U13" si="6">U5+(T6-T5)*($I$5-$I$7/$I$6*U5^2)</f>
        <v>19.62</v>
      </c>
      <c r="V6">
        <f t="shared" ref="V6:V13" si="7">SQRT($I$5*$I$6/$I$7)*TANH(SQRT($I$5*$I$7/$I$6)*T6)</f>
        <v>18.855509005592673</v>
      </c>
      <c r="W6">
        <f>ABS(U6-V6)/ABS(U6)</f>
        <v>3.8964882487631414E-2</v>
      </c>
    </row>
    <row r="7" spans="2:23" x14ac:dyDescent="0.3">
      <c r="C7">
        <v>1.5</v>
      </c>
      <c r="D7">
        <f t="shared" si="1"/>
        <v>14.528189095796343</v>
      </c>
      <c r="E7">
        <f t="shared" si="2"/>
        <v>14.385751167339588</v>
      </c>
      <c r="F7">
        <f t="shared" si="0"/>
        <v>9.8042452171804382E-3</v>
      </c>
      <c r="H7" t="s">
        <v>6</v>
      </c>
      <c r="I7">
        <v>0.25</v>
      </c>
      <c r="O7">
        <v>2</v>
      </c>
      <c r="P7">
        <f t="shared" si="3"/>
        <v>19.319262187500001</v>
      </c>
      <c r="Q7">
        <f t="shared" si="4"/>
        <v>18.855509005592673</v>
      </c>
      <c r="R7">
        <f t="shared" si="5"/>
        <v>2.4004704600333424E-2</v>
      </c>
      <c r="T7">
        <v>4</v>
      </c>
      <c r="U7">
        <f t="shared" ref="U7:U27" si="8">U6+(T7-T6)*($I$5-$I$7/$I$6*U6^2)</f>
        <v>36.834097499999999</v>
      </c>
      <c r="V7">
        <f t="shared" ref="V7:V27" si="9">SQRT($I$5*$I$6/$I$7)*TANH(SQRT($I$5*$I$7/$I$6)*T7)</f>
        <v>33.874554055121301</v>
      </c>
      <c r="W7">
        <f t="shared" ref="W7:W27" si="10">ABS(U7-V7)/ABS(U7)</f>
        <v>8.0347928841712421E-2</v>
      </c>
    </row>
    <row r="8" spans="2:23" x14ac:dyDescent="0.3">
      <c r="C8">
        <v>2</v>
      </c>
      <c r="D8">
        <f t="shared" si="1"/>
        <v>19.103394910791319</v>
      </c>
      <c r="E8">
        <f t="shared" si="2"/>
        <v>18.855509005592673</v>
      </c>
      <c r="F8">
        <f t="shared" si="0"/>
        <v>1.2976013235145892E-2</v>
      </c>
      <c r="O8">
        <v>3</v>
      </c>
      <c r="P8">
        <f t="shared" si="3"/>
        <v>27.962906276658231</v>
      </c>
      <c r="Q8">
        <f t="shared" si="4"/>
        <v>26.992066864371431</v>
      </c>
      <c r="R8">
        <f t="shared" si="5"/>
        <v>3.4718830821143902E-2</v>
      </c>
      <c r="T8">
        <v>6</v>
      </c>
      <c r="U8">
        <f t="shared" si="8"/>
        <v>47.974405383503083</v>
      </c>
      <c r="V8">
        <f t="shared" si="9"/>
        <v>43.815149109633531</v>
      </c>
      <c r="W8">
        <f t="shared" si="10"/>
        <v>8.6697401262628093E-2</v>
      </c>
    </row>
    <row r="9" spans="2:23" x14ac:dyDescent="0.3">
      <c r="C9">
        <v>2.5</v>
      </c>
      <c r="D9">
        <f t="shared" si="1"/>
        <v>23.438176634044996</v>
      </c>
      <c r="E9">
        <f t="shared" si="2"/>
        <v>23.070063583416324</v>
      </c>
      <c r="F9">
        <f t="shared" si="0"/>
        <v>1.5705703407575291E-2</v>
      </c>
      <c r="O9">
        <v>4</v>
      </c>
      <c r="P9">
        <f t="shared" si="3"/>
        <v>35.329393378417066</v>
      </c>
      <c r="Q9">
        <f t="shared" si="4"/>
        <v>33.874554055121301</v>
      </c>
      <c r="R9">
        <f t="shared" si="5"/>
        <v>4.1179289655863011E-2</v>
      </c>
      <c r="T9">
        <v>8</v>
      </c>
      <c r="U9">
        <f t="shared" si="8"/>
        <v>53.209758059123772</v>
      </c>
      <c r="V9">
        <f t="shared" si="9"/>
        <v>49.613624448113399</v>
      </c>
      <c r="W9">
        <f t="shared" si="10"/>
        <v>6.7584100025686003E-2</v>
      </c>
    </row>
    <row r="10" spans="2:23" x14ac:dyDescent="0.3">
      <c r="C10">
        <v>3</v>
      </c>
      <c r="D10">
        <f t="shared" si="1"/>
        <v>27.484820190406413</v>
      </c>
      <c r="E10">
        <f t="shared" si="2"/>
        <v>26.992066864371431</v>
      </c>
      <c r="F10">
        <f t="shared" si="0"/>
        <v>1.7928199006627604E-2</v>
      </c>
      <c r="O10">
        <v>5</v>
      </c>
      <c r="P10">
        <f t="shared" si="3"/>
        <v>41.238874514395377</v>
      </c>
      <c r="Q10">
        <f t="shared" si="4"/>
        <v>39.451432456581713</v>
      </c>
      <c r="R10">
        <f t="shared" si="5"/>
        <v>4.3343618827175218E-2</v>
      </c>
      <c r="T10">
        <v>10</v>
      </c>
      <c r="U10">
        <f t="shared" si="8"/>
        <v>55.134268354683229</v>
      </c>
      <c r="V10">
        <f t="shared" si="9"/>
        <v>52.749607017161132</v>
      </c>
      <c r="W10">
        <f t="shared" si="10"/>
        <v>4.3251890497238064E-2</v>
      </c>
    </row>
    <row r="11" spans="2:23" x14ac:dyDescent="0.3">
      <c r="C11">
        <v>3.5</v>
      </c>
      <c r="D11">
        <f t="shared" si="1"/>
        <v>31.209483720251768</v>
      </c>
      <c r="E11">
        <f t="shared" si="2"/>
        <v>30.59741198948128</v>
      </c>
      <c r="F11">
        <f t="shared" si="0"/>
        <v>1.9611722393642669E-2</v>
      </c>
      <c r="O11">
        <v>6</v>
      </c>
      <c r="P11">
        <f t="shared" si="3"/>
        <v>45.734359604351475</v>
      </c>
      <c r="Q11">
        <f t="shared" si="4"/>
        <v>43.815149109633531</v>
      </c>
      <c r="R11">
        <f t="shared" si="5"/>
        <v>4.1964302360873944E-2</v>
      </c>
      <c r="T11">
        <v>12</v>
      </c>
      <c r="U11">
        <f t="shared" si="8"/>
        <v>55.755596185894326</v>
      </c>
      <c r="V11">
        <f t="shared" si="9"/>
        <v>54.376519222046575</v>
      </c>
      <c r="W11">
        <f t="shared" si="10"/>
        <v>2.4734323694607818E-2</v>
      </c>
    </row>
    <row r="12" spans="2:23" x14ac:dyDescent="0.3">
      <c r="C12">
        <v>4</v>
      </c>
      <c r="D12">
        <f t="shared" si="1"/>
        <v>34.592558916994484</v>
      </c>
      <c r="E12">
        <f t="shared" si="2"/>
        <v>33.874554055121301</v>
      </c>
      <c r="F12">
        <f t="shared" si="0"/>
        <v>2.0756049403458408E-2</v>
      </c>
      <c r="O12">
        <v>7</v>
      </c>
      <c r="P12">
        <f t="shared" ref="P12:P27" si="11">P11+(O12-O11)*($I$5-$I$7/$I$6*P11^2)</f>
        <v>49.008010703038551</v>
      </c>
      <c r="Q12">
        <f t="shared" ref="Q12:Q27" si="12">SQRT($I$5*$I$6/$I$7)*TANH(SQRT($I$5*$I$7/$I$6)*O12)</f>
        <v>47.137143605826147</v>
      </c>
      <c r="R12">
        <f t="shared" ref="R12:R27" si="13">ABS(P12-Q12)/P12</f>
        <v>3.8174720221737304E-2</v>
      </c>
      <c r="T12">
        <v>14</v>
      </c>
      <c r="U12">
        <f t="shared" si="8"/>
        <v>55.946305523116109</v>
      </c>
      <c r="V12">
        <f t="shared" si="9"/>
        <v>55.202341576696021</v>
      </c>
      <c r="W12">
        <f t="shared" si="10"/>
        <v>1.3297820820584732E-2</v>
      </c>
    </row>
    <row r="13" spans="2:23" x14ac:dyDescent="0.3">
      <c r="C13">
        <v>4.5</v>
      </c>
      <c r="D13">
        <f t="shared" si="1"/>
        <v>37.627800897579277</v>
      </c>
      <c r="E13">
        <f t="shared" si="2"/>
        <v>36.82302019732721</v>
      </c>
      <c r="F13">
        <f t="shared" si="0"/>
        <v>2.1387928102485555E-2</v>
      </c>
      <c r="O13">
        <v>8</v>
      </c>
      <c r="P13">
        <f t="shared" si="11"/>
        <v>51.312432224697488</v>
      </c>
      <c r="Q13">
        <f t="shared" si="12"/>
        <v>49.613624448113399</v>
      </c>
      <c r="R13">
        <f t="shared" si="13"/>
        <v>3.3107138035184128E-2</v>
      </c>
      <c r="T13">
        <v>16</v>
      </c>
      <c r="U13">
        <f t="shared" si="8"/>
        <v>56.003873637579531</v>
      </c>
      <c r="V13">
        <f t="shared" si="9"/>
        <v>55.616892049214485</v>
      </c>
      <c r="W13">
        <f t="shared" si="10"/>
        <v>6.9099075337062926E-3</v>
      </c>
    </row>
    <row r="14" spans="2:23" x14ac:dyDescent="0.3">
      <c r="C14">
        <v>5</v>
      </c>
      <c r="D14">
        <f t="shared" si="1"/>
        <v>40.320533084473233</v>
      </c>
      <c r="E14">
        <f t="shared" si="2"/>
        <v>39.451432456581713</v>
      </c>
      <c r="F14">
        <f t="shared" si="0"/>
        <v>2.1554790113283394E-2</v>
      </c>
      <c r="O14">
        <v>9</v>
      </c>
      <c r="P14">
        <f t="shared" si="11"/>
        <v>52.894414409653194</v>
      </c>
      <c r="Q14">
        <f t="shared" si="12"/>
        <v>51.431082591942634</v>
      </c>
      <c r="R14">
        <f t="shared" si="13"/>
        <v>2.7665148277801969E-2</v>
      </c>
      <c r="T14">
        <v>18</v>
      </c>
      <c r="U14">
        <f t="shared" si="8"/>
        <v>56.021161997492186</v>
      </c>
      <c r="V14">
        <f t="shared" si="9"/>
        <v>55.823828032371821</v>
      </c>
      <c r="W14">
        <f t="shared" si="10"/>
        <v>3.5224896821882817E-3</v>
      </c>
    </row>
    <row r="15" spans="2:23" x14ac:dyDescent="0.3">
      <c r="C15">
        <v>5.5</v>
      </c>
      <c r="D15">
        <f t="shared" si="1"/>
        <v>42.685305915385577</v>
      </c>
      <c r="E15">
        <f t="shared" si="2"/>
        <v>41.775346634928972</v>
      </c>
      <c r="F15">
        <f t="shared" si="0"/>
        <v>2.1317857771955589E-2</v>
      </c>
      <c r="O15">
        <v>10</v>
      </c>
      <c r="P15">
        <f t="shared" si="11"/>
        <v>53.961229797965295</v>
      </c>
      <c r="Q15">
        <f t="shared" si="12"/>
        <v>52.749607017161132</v>
      </c>
      <c r="R15">
        <f t="shared" si="13"/>
        <v>2.2453579826489597E-2</v>
      </c>
      <c r="T15">
        <v>20</v>
      </c>
      <c r="U15">
        <f t="shared" si="8"/>
        <v>56.026345800309294</v>
      </c>
      <c r="V15">
        <f t="shared" si="9"/>
        <v>55.92683789619074</v>
      </c>
      <c r="W15">
        <f t="shared" si="10"/>
        <v>1.7760912780787506E-3</v>
      </c>
    </row>
    <row r="16" spans="2:23" x14ac:dyDescent="0.3">
      <c r="C16">
        <v>6</v>
      </c>
      <c r="D16">
        <f t="shared" si="1"/>
        <v>44.743375694932375</v>
      </c>
      <c r="E16">
        <f t="shared" si="2"/>
        <v>43.815149109633531</v>
      </c>
      <c r="F16">
        <f t="shared" si="0"/>
        <v>2.0745564474787162E-2</v>
      </c>
      <c r="O16">
        <v>11</v>
      </c>
      <c r="P16">
        <f t="shared" si="11"/>
        <v>54.67181004387524</v>
      </c>
      <c r="Q16">
        <f t="shared" si="12"/>
        <v>53.698188617313171</v>
      </c>
      <c r="R16">
        <f t="shared" si="13"/>
        <v>1.7808472515922151E-2</v>
      </c>
      <c r="T16">
        <v>22</v>
      </c>
      <c r="U16">
        <f t="shared" si="8"/>
        <v>56.027899401960326</v>
      </c>
      <c r="V16">
        <f t="shared" si="9"/>
        <v>55.978043321361262</v>
      </c>
      <c r="W16">
        <f t="shared" si="10"/>
        <v>8.8984383014936242E-4</v>
      </c>
    </row>
    <row r="17" spans="3:23" x14ac:dyDescent="0.3">
      <c r="C17">
        <v>6.5</v>
      </c>
      <c r="D17">
        <f t="shared" si="1"/>
        <v>46.520298087779459</v>
      </c>
      <c r="E17">
        <f t="shared" si="2"/>
        <v>45.594175921676751</v>
      </c>
      <c r="F17">
        <f t="shared" si="0"/>
        <v>1.9907915558821265E-2</v>
      </c>
      <c r="O17">
        <v>12</v>
      </c>
      <c r="P17">
        <f t="shared" si="11"/>
        <v>55.141163751770307</v>
      </c>
      <c r="Q17">
        <f t="shared" si="12"/>
        <v>54.376519222046575</v>
      </c>
      <c r="R17">
        <f t="shared" si="13"/>
        <v>1.3867036487766967E-2</v>
      </c>
      <c r="T17">
        <v>24</v>
      </c>
      <c r="U17">
        <f t="shared" si="8"/>
        <v>56.028364955734162</v>
      </c>
      <c r="V17">
        <f t="shared" si="9"/>
        <v>56.003479506537715</v>
      </c>
      <c r="W17">
        <f t="shared" si="10"/>
        <v>4.4415804773363562E-4</v>
      </c>
    </row>
    <row r="18" spans="3:23" x14ac:dyDescent="0.3">
      <c r="C18">
        <v>7</v>
      </c>
      <c r="D18">
        <f t="shared" si="1"/>
        <v>48.043832253129679</v>
      </c>
      <c r="E18">
        <f t="shared" si="2"/>
        <v>47.137143605826147</v>
      </c>
      <c r="F18">
        <f t="shared" si="0"/>
        <v>1.8872113334474246E-2</v>
      </c>
      <c r="O18">
        <v>13</v>
      </c>
      <c r="P18">
        <f t="shared" si="11"/>
        <v>55.449451439584223</v>
      </c>
      <c r="Q18">
        <f t="shared" si="12"/>
        <v>54.859503617321231</v>
      </c>
      <c r="R18">
        <f t="shared" si="13"/>
        <v>1.0639380678198031E-2</v>
      </c>
      <c r="T18">
        <v>26</v>
      </c>
      <c r="U18">
        <f t="shared" si="8"/>
        <v>56.028504458153293</v>
      </c>
      <c r="V18">
        <f t="shared" si="9"/>
        <v>56.016110524471635</v>
      </c>
      <c r="W18">
        <f t="shared" si="10"/>
        <v>2.2120764781281024E-4</v>
      </c>
    </row>
    <row r="19" spans="3:23" x14ac:dyDescent="0.3">
      <c r="C19">
        <v>7.5</v>
      </c>
      <c r="D19">
        <f t="shared" si="1"/>
        <v>49.342254413181458</v>
      </c>
      <c r="E19">
        <f t="shared" si="2"/>
        <v>48.468920468365376</v>
      </c>
      <c r="F19">
        <f t="shared" si="0"/>
        <v>1.769951444664386E-2</v>
      </c>
      <c r="O19">
        <v>14</v>
      </c>
      <c r="P19">
        <f t="shared" si="11"/>
        <v>55.651196236612947</v>
      </c>
      <c r="Q19">
        <f t="shared" si="12"/>
        <v>55.202341576696021</v>
      </c>
      <c r="R19">
        <f t="shared" si="13"/>
        <v>8.0654988620284807E-3</v>
      </c>
      <c r="T19">
        <v>28</v>
      </c>
      <c r="U19">
        <f t="shared" si="8"/>
        <v>56.028546259295148</v>
      </c>
      <c r="V19">
        <f t="shared" si="9"/>
        <v>56.022381721092771</v>
      </c>
      <c r="W19">
        <f t="shared" si="10"/>
        <v>1.1002495359861755E-4</v>
      </c>
    </row>
    <row r="20" spans="3:23" x14ac:dyDescent="0.3">
      <c r="C20">
        <v>8</v>
      </c>
      <c r="D20">
        <f t="shared" si="1"/>
        <v>50.443101177907828</v>
      </c>
      <c r="E20">
        <f t="shared" si="2"/>
        <v>49.613624448113399</v>
      </c>
      <c r="F20">
        <f t="shared" si="0"/>
        <v>1.644380917162382E-2</v>
      </c>
      <c r="O20">
        <v>15</v>
      </c>
      <c r="P20">
        <f t="shared" si="11"/>
        <v>55.782897353594187</v>
      </c>
      <c r="Q20">
        <f t="shared" si="12"/>
        <v>55.445168046307501</v>
      </c>
      <c r="R20">
        <f t="shared" si="13"/>
        <v>6.054352199490509E-3</v>
      </c>
      <c r="T20">
        <v>30</v>
      </c>
      <c r="U20">
        <f t="shared" si="8"/>
        <v>56.028558784732795</v>
      </c>
      <c r="V20">
        <f t="shared" si="9"/>
        <v>56.025495054187175</v>
      </c>
      <c r="W20">
        <f t="shared" si="10"/>
        <v>5.4681587605898347E-5</v>
      </c>
    </row>
    <row r="21" spans="3:23" x14ac:dyDescent="0.3">
      <c r="C21">
        <v>8.5</v>
      </c>
      <c r="D21">
        <f t="shared" si="1"/>
        <v>51.372309839713068</v>
      </c>
      <c r="E21">
        <f t="shared" si="2"/>
        <v>50.594008442455845</v>
      </c>
      <c r="F21">
        <f t="shared" si="0"/>
        <v>1.5150212238569855E-2</v>
      </c>
      <c r="O21">
        <v>16</v>
      </c>
      <c r="P21">
        <f t="shared" si="11"/>
        <v>55.868735987464106</v>
      </c>
      <c r="Q21">
        <f t="shared" si="12"/>
        <v>55.616892049214485</v>
      </c>
      <c r="R21">
        <f t="shared" si="13"/>
        <v>4.5077794189961658E-3</v>
      </c>
    </row>
    <row r="22" spans="3:23" x14ac:dyDescent="0.3">
      <c r="C22">
        <v>9</v>
      </c>
      <c r="D22">
        <f t="shared" si="1"/>
        <v>52.153693873670129</v>
      </c>
      <c r="E22">
        <f t="shared" si="2"/>
        <v>51.431082591942634</v>
      </c>
      <c r="F22">
        <f t="shared" si="0"/>
        <v>1.3855419013614808E-2</v>
      </c>
      <c r="O22">
        <v>17</v>
      </c>
      <c r="P22">
        <f t="shared" si="11"/>
        <v>55.924624547348586</v>
      </c>
      <c r="Q22">
        <f t="shared" si="12"/>
        <v>55.73820035547093</v>
      </c>
      <c r="R22">
        <f t="shared" si="13"/>
        <v>3.3334902717106242E-3</v>
      </c>
    </row>
    <row r="23" spans="3:23" x14ac:dyDescent="0.3">
      <c r="C23">
        <v>9.5</v>
      </c>
      <c r="D23">
        <f t="shared" si="1"/>
        <v>52.808681710125605</v>
      </c>
      <c r="E23">
        <f t="shared" si="2"/>
        <v>52.143921310917349</v>
      </c>
      <c r="F23">
        <f t="shared" si="0"/>
        <v>1.2588089262618217E-2</v>
      </c>
      <c r="O23">
        <v>18</v>
      </c>
      <c r="P23">
        <f t="shared" si="11"/>
        <v>55.960988201217639</v>
      </c>
      <c r="Q23">
        <f t="shared" si="12"/>
        <v>55.823828032371821</v>
      </c>
      <c r="R23">
        <f t="shared" si="13"/>
        <v>2.450996189571088E-3</v>
      </c>
    </row>
    <row r="24" spans="3:23" x14ac:dyDescent="0.3">
      <c r="C24">
        <v>10</v>
      </c>
      <c r="D24">
        <f t="shared" si="1"/>
        <v>53.356249110185985</v>
      </c>
      <c r="E24">
        <f t="shared" si="2"/>
        <v>52.749607017161132</v>
      </c>
      <c r="F24">
        <f t="shared" si="0"/>
        <v>1.1369654035688979E-2</v>
      </c>
      <c r="O24">
        <v>19</v>
      </c>
      <c r="P24">
        <f t="shared" si="11"/>
        <v>55.984637574790078</v>
      </c>
      <c r="Q24">
        <f t="shared" si="12"/>
        <v>55.884236893344656</v>
      </c>
      <c r="R24">
        <f t="shared" si="13"/>
        <v>1.7933612825714168E-3</v>
      </c>
    </row>
    <row r="25" spans="3:23" x14ac:dyDescent="0.3">
      <c r="C25">
        <v>10.5</v>
      </c>
      <c r="D25">
        <f t="shared" si="1"/>
        <v>53.812984549079388</v>
      </c>
      <c r="E25">
        <f t="shared" si="2"/>
        <v>53.263269596548014</v>
      </c>
      <c r="F25">
        <f t="shared" si="0"/>
        <v>1.0215284603477337E-2</v>
      </c>
      <c r="O25">
        <v>20</v>
      </c>
      <c r="P25">
        <f t="shared" si="11"/>
        <v>56.000013686100715</v>
      </c>
      <c r="Q25">
        <f t="shared" si="12"/>
        <v>55.92683789619074</v>
      </c>
      <c r="R25">
        <f t="shared" si="13"/>
        <v>1.3067102147536992E-3</v>
      </c>
    </row>
    <row r="26" spans="3:23" x14ac:dyDescent="0.3">
      <c r="C26">
        <v>11</v>
      </c>
      <c r="D26">
        <f t="shared" si="1"/>
        <v>54.193238758330239</v>
      </c>
      <c r="E26">
        <f t="shared" si="2"/>
        <v>53.698188617313171</v>
      </c>
      <c r="F26">
        <f t="shared" si="0"/>
        <v>9.1349059838386464E-3</v>
      </c>
      <c r="O26">
        <v>21</v>
      </c>
      <c r="P26">
        <f t="shared" si="11"/>
        <v>56.01000889596488</v>
      </c>
      <c r="Q26">
        <f t="shared" si="12"/>
        <v>55.956872437446044</v>
      </c>
      <c r="R26">
        <f t="shared" si="13"/>
        <v>9.4869577002805548E-4</v>
      </c>
    </row>
    <row r="27" spans="3:23" x14ac:dyDescent="0.3">
      <c r="C27">
        <v>11.5</v>
      </c>
      <c r="D27">
        <f t="shared" si="1"/>
        <v>54.509321372209321</v>
      </c>
      <c r="E27">
        <f t="shared" si="2"/>
        <v>54.065932959721408</v>
      </c>
      <c r="F27">
        <f t="shared" si="0"/>
        <v>8.1341759780918337E-3</v>
      </c>
      <c r="O27">
        <v>22</v>
      </c>
      <c r="P27">
        <f t="shared" si="11"/>
        <v>56.016505469320926</v>
      </c>
      <c r="Q27">
        <f t="shared" si="12"/>
        <v>55.978043321361262</v>
      </c>
      <c r="R27">
        <f t="shared" si="13"/>
        <v>6.866216954702414E-4</v>
      </c>
    </row>
    <row r="28" spans="3:23" x14ac:dyDescent="0.3">
      <c r="C28">
        <v>12</v>
      </c>
      <c r="D28">
        <f t="shared" si="1"/>
        <v>54.771718065242453</v>
      </c>
      <c r="E28">
        <f t="shared" si="2"/>
        <v>54.376519222046575</v>
      </c>
      <c r="F28">
        <f t="shared" si="0"/>
        <v>7.2153815355057689E-3</v>
      </c>
      <c r="O28">
        <v>23</v>
      </c>
      <c r="P28">
        <f t="shared" ref="P28:P31" si="14">P27+(O28-O27)*($I$5-$I$7/$I$6*P27^2)</f>
        <v>56.020727703713234</v>
      </c>
      <c r="Q28">
        <f t="shared" ref="Q28:Q31" si="15">SQRT($I$5*$I$6/$I$7)*TANH(SQRT($I$5*$I$7/$I$6)*O28)</f>
        <v>55.992964335297316</v>
      </c>
      <c r="R28">
        <f t="shared" ref="R28:R31" si="16">ABS(P28-Q28)/P28</f>
        <v>4.9559099915223303E-4</v>
      </c>
    </row>
    <row r="29" spans="3:23" x14ac:dyDescent="0.3">
      <c r="C29">
        <v>12.5</v>
      </c>
      <c r="D29">
        <f t="shared" si="1"/>
        <v>54.989310096776194</v>
      </c>
      <c r="E29">
        <f t="shared" si="2"/>
        <v>54.638575769984371</v>
      </c>
      <c r="F29">
        <f t="shared" si="0"/>
        <v>6.3782274441079997E-3</v>
      </c>
      <c r="O29">
        <v>24</v>
      </c>
      <c r="P29">
        <f t="shared" si="14"/>
        <v>56.023471664795785</v>
      </c>
      <c r="Q29">
        <f t="shared" si="15"/>
        <v>56.003479506537715</v>
      </c>
      <c r="R29">
        <f t="shared" si="16"/>
        <v>3.5685325567984624E-4</v>
      </c>
    </row>
    <row r="30" spans="3:23" x14ac:dyDescent="0.3">
      <c r="C30">
        <v>13</v>
      </c>
      <c r="D30">
        <f t="shared" si="1"/>
        <v>55.169584745339613</v>
      </c>
      <c r="E30">
        <f t="shared" si="2"/>
        <v>54.859503617321231</v>
      </c>
      <c r="F30">
        <f t="shared" si="0"/>
        <v>5.6205086452925622E-3</v>
      </c>
      <c r="O30">
        <v>25</v>
      </c>
      <c r="P30">
        <f t="shared" si="14"/>
        <v>56.025254860495238</v>
      </c>
      <c r="Q30">
        <f t="shared" si="15"/>
        <v>56.010889285202801</v>
      </c>
      <c r="R30">
        <f t="shared" si="16"/>
        <v>2.5641249340512939E-4</v>
      </c>
    </row>
    <row r="31" spans="3:23" x14ac:dyDescent="0.3">
      <c r="C31">
        <v>13.5</v>
      </c>
      <c r="D31">
        <f t="shared" si="1"/>
        <v>55.318829931318973</v>
      </c>
      <c r="E31">
        <f t="shared" si="2"/>
        <v>55.045628586807759</v>
      </c>
      <c r="F31">
        <f t="shared" si="0"/>
        <v>4.9386681686942272E-3</v>
      </c>
      <c r="O31">
        <v>26</v>
      </c>
      <c r="P31">
        <f t="shared" si="14"/>
        <v>56.026413666171969</v>
      </c>
      <c r="Q31">
        <f t="shared" si="15"/>
        <v>56.016110524471635</v>
      </c>
      <c r="R31">
        <f t="shared" si="16"/>
        <v>1.8389793360188865E-4</v>
      </c>
    </row>
    <row r="32" spans="3:23" x14ac:dyDescent="0.3">
      <c r="C32">
        <v>14</v>
      </c>
      <c r="D32">
        <f t="shared" si="1"/>
        <v>55.442309704803051</v>
      </c>
      <c r="E32">
        <f t="shared" si="2"/>
        <v>55.202341576696021</v>
      </c>
      <c r="F32">
        <f t="shared" si="0"/>
        <v>4.3282491184930064E-3</v>
      </c>
    </row>
    <row r="33" spans="3:6" x14ac:dyDescent="0.3">
      <c r="C33">
        <v>14.5</v>
      </c>
      <c r="D33">
        <f t="shared" si="1"/>
        <v>55.544419540110397</v>
      </c>
      <c r="E33">
        <f t="shared" si="2"/>
        <v>55.334225431161954</v>
      </c>
      <c r="F33">
        <f t="shared" si="0"/>
        <v>3.7842525079707571E-3</v>
      </c>
    </row>
    <row r="34" spans="3:6" x14ac:dyDescent="0.3">
      <c r="C34">
        <v>15</v>
      </c>
      <c r="D34">
        <f t="shared" si="1"/>
        <v>55.628821818160716</v>
      </c>
      <c r="E34">
        <f t="shared" si="2"/>
        <v>55.445168046307501</v>
      </c>
      <c r="F34">
        <f t="shared" si="0"/>
        <v>3.3014140125696423E-3</v>
      </c>
    </row>
    <row r="35" spans="3:6" x14ac:dyDescent="0.3">
      <c r="C35">
        <v>15.5</v>
      </c>
      <c r="D35">
        <f t="shared" si="1"/>
        <v>55.698562729290913</v>
      </c>
      <c r="E35">
        <f t="shared" si="2"/>
        <v>55.538462076430868</v>
      </c>
      <c r="F35">
        <f t="shared" si="0"/>
        <v>2.8744126421748916E-3</v>
      </c>
    </row>
    <row r="36" spans="3:6" x14ac:dyDescent="0.3">
      <c r="C36">
        <v>16</v>
      </c>
      <c r="D36">
        <f t="shared" si="1"/>
        <v>55.756172275995986</v>
      </c>
      <c r="E36">
        <f t="shared" si="2"/>
        <v>55.616892049214485</v>
      </c>
      <c r="F36">
        <f t="shared" si="0"/>
        <v>2.498023467107049E-3</v>
      </c>
    </row>
    <row r="37" spans="3:6" x14ac:dyDescent="0.3">
      <c r="C37">
        <v>16.5</v>
      </c>
      <c r="D37">
        <f t="shared" si="1"/>
        <v>55.803749234010759</v>
      </c>
      <c r="E37">
        <f t="shared" si="2"/>
        <v>55.682809939630609</v>
      </c>
      <c r="F37">
        <f t="shared" si="0"/>
        <v>2.1672252499199715E-3</v>
      </c>
    </row>
    <row r="38" spans="3:6" x14ac:dyDescent="0.3">
      <c r="C38">
        <v>17</v>
      </c>
      <c r="D38">
        <f t="shared" si="1"/>
        <v>55.843032939366452</v>
      </c>
      <c r="E38">
        <f t="shared" si="2"/>
        <v>55.73820035547093</v>
      </c>
      <c r="F38">
        <f t="shared" si="0"/>
        <v>1.8772723897240301E-3</v>
      </c>
    </row>
    <row r="39" spans="3:6" x14ac:dyDescent="0.3">
      <c r="C39">
        <v>17.5</v>
      </c>
      <c r="D39">
        <f t="shared" si="1"/>
        <v>55.875463677074002</v>
      </c>
      <c r="E39">
        <f t="shared" si="2"/>
        <v>55.784736499911212</v>
      </c>
      <c r="F39">
        <f t="shared" si="0"/>
        <v>1.6237391368622554E-3</v>
      </c>
    </row>
    <row r="40" spans="3:6" x14ac:dyDescent="0.3">
      <c r="C40">
        <v>18</v>
      </c>
      <c r="D40">
        <f t="shared" si="1"/>
        <v>55.90223330031148</v>
      </c>
      <c r="E40">
        <f t="shared" si="2"/>
        <v>55.823828032371821</v>
      </c>
      <c r="F40">
        <f t="shared" si="0"/>
        <v>1.4025426769348982E-3</v>
      </c>
    </row>
    <row r="41" spans="3:6" x14ac:dyDescent="0.3">
      <c r="C41">
        <v>18.5</v>
      </c>
      <c r="D41">
        <f t="shared" si="1"/>
        <v>55.924327537870148</v>
      </c>
      <c r="E41">
        <f t="shared" si="2"/>
        <v>55.856661871876867</v>
      </c>
      <c r="F41">
        <f t="shared" si="0"/>
        <v>1.2099504629261874E-3</v>
      </c>
    </row>
    <row r="42" spans="3:6" x14ac:dyDescent="0.3">
      <c r="C42">
        <v>19</v>
      </c>
      <c r="D42">
        <f t="shared" si="1"/>
        <v>55.942561271365491</v>
      </c>
      <c r="E42">
        <f t="shared" si="2"/>
        <v>55.884236893344656</v>
      </c>
      <c r="F42">
        <f t="shared" si="0"/>
        <v>1.0425761119144282E-3</v>
      </c>
    </row>
    <row r="43" spans="3:6" x14ac:dyDescent="0.3">
      <c r="C43">
        <v>19.5</v>
      </c>
      <c r="D43">
        <f t="shared" si="1"/>
        <v>55.95760789386474</v>
      </c>
      <c r="E43">
        <f t="shared" si="2"/>
        <v>55.907393367495658</v>
      </c>
      <c r="F43">
        <f t="shared" si="0"/>
        <v>8.9736727960788442E-4</v>
      </c>
    </row>
    <row r="44" spans="3:6" x14ac:dyDescent="0.3">
      <c r="C44">
        <v>20</v>
      </c>
      <c r="D44">
        <f t="shared" si="1"/>
        <v>55.970023704484248</v>
      </c>
      <c r="E44">
        <f t="shared" si="2"/>
        <v>55.92683789619074</v>
      </c>
      <c r="F44">
        <f t="shared" si="0"/>
        <v>7.7158817229602025E-4</v>
      </c>
    </row>
    <row r="45" spans="3:6" x14ac:dyDescent="0.3">
      <c r="C45">
        <v>20.5</v>
      </c>
      <c r="D45">
        <f t="shared" si="1"/>
        <v>55.980268152170922</v>
      </c>
      <c r="E45">
        <f t="shared" si="2"/>
        <v>55.943164501150342</v>
      </c>
      <c r="F45">
        <f t="shared" si="0"/>
        <v>6.6279873686423015E-4</v>
      </c>
    </row>
    <row r="46" spans="3:6" x14ac:dyDescent="0.3">
      <c r="C46">
        <v>21</v>
      </c>
      <c r="D46">
        <f t="shared" si="1"/>
        <v>55.988720617188172</v>
      </c>
      <c r="E46">
        <f t="shared" si="2"/>
        <v>55.956872437446044</v>
      </c>
      <c r="F46">
        <f t="shared" si="0"/>
        <v>5.6883206815677581E-4</v>
      </c>
    </row>
    <row r="47" spans="3:6" x14ac:dyDescent="0.3">
      <c r="C47">
        <v>21.5</v>
      </c>
      <c r="D47">
        <f t="shared" si="1"/>
        <v>55.995694310391997</v>
      </c>
      <c r="E47">
        <f t="shared" si="2"/>
        <v>55.968381224953227</v>
      </c>
      <c r="F47">
        <f t="shared" si="0"/>
        <v>4.8777117196493596E-4</v>
      </c>
    </row>
    <row r="48" spans="3:6" x14ac:dyDescent="0.3">
      <c r="C48">
        <v>22</v>
      </c>
      <c r="D48">
        <f t="shared" si="1"/>
        <v>56.001447777106264</v>
      </c>
      <c r="E48">
        <f t="shared" si="2"/>
        <v>55.978043321361262</v>
      </c>
      <c r="F48">
        <f t="shared" si="0"/>
        <v>4.1792590502579517E-4</v>
      </c>
    </row>
    <row r="49" spans="3:6" x14ac:dyDescent="0.3">
      <c r="C49">
        <v>22.5</v>
      </c>
      <c r="D49">
        <f t="shared" si="1"/>
        <v>56.006194412837573</v>
      </c>
      <c r="E49">
        <f t="shared" si="2"/>
        <v>55.986154799117053</v>
      </c>
      <c r="F49">
        <f t="shared" si="0"/>
        <v>3.5781066595603041E-4</v>
      </c>
    </row>
    <row r="50" spans="3:6" x14ac:dyDescent="0.3">
      <c r="C50">
        <v>23</v>
      </c>
      <c r="D50">
        <f t="shared" si="1"/>
        <v>56.010110330636699</v>
      </c>
      <c r="E50">
        <f t="shared" si="2"/>
        <v>55.992964335297316</v>
      </c>
      <c r="F50">
        <f t="shared" si="0"/>
        <v>3.0612322022163454E-4</v>
      </c>
    </row>
    <row r="51" spans="3:6" x14ac:dyDescent="0.3">
      <c r="C51">
        <v>23.5</v>
      </c>
      <c r="D51">
        <f t="shared" si="1"/>
        <v>56.013340863058424</v>
      </c>
      <c r="E51">
        <f t="shared" si="2"/>
        <v>55.998680777186017</v>
      </c>
      <c r="F51">
        <f t="shared" si="0"/>
        <v>2.6172489707850313E-4</v>
      </c>
    </row>
    <row r="52" spans="3:6" x14ac:dyDescent="0.3">
      <c r="C52">
        <v>24</v>
      </c>
      <c r="D52">
        <f t="shared" si="1"/>
        <v>56.016005933931595</v>
      </c>
      <c r="E52">
        <f t="shared" si="2"/>
        <v>56.003479506537715</v>
      </c>
      <c r="F52">
        <f t="shared" si="0"/>
        <v>2.2362228768423842E-4</v>
      </c>
    </row>
    <row r="53" spans="3:6" x14ac:dyDescent="0.3">
      <c r="C53">
        <v>24.5</v>
      </c>
      <c r="D53">
        <f t="shared" si="1"/>
        <v>56.018204495196812</v>
      </c>
      <c r="E53">
        <f t="shared" si="2"/>
        <v>56.007507791395938</v>
      </c>
      <c r="F53">
        <f t="shared" si="0"/>
        <v>1.9095049363447377E-4</v>
      </c>
    </row>
    <row r="54" spans="3:6" x14ac:dyDescent="0.3">
      <c r="C54">
        <v>25</v>
      </c>
      <c r="D54">
        <f t="shared" si="1"/>
        <v>56.020018190719171</v>
      </c>
      <c r="E54">
        <f t="shared" si="2"/>
        <v>56.010889285202801</v>
      </c>
      <c r="F54">
        <f t="shared" si="0"/>
        <v>1.6295791774452326E-4</v>
      </c>
    </row>
    <row r="55" spans="3:6" x14ac:dyDescent="0.3">
      <c r="C55">
        <v>25.5</v>
      </c>
      <c r="D55">
        <f t="shared" si="1"/>
        <v>56.021514381205876</v>
      </c>
      <c r="E55">
        <f t="shared" si="2"/>
        <v>56.013727808127811</v>
      </c>
      <c r="F55">
        <f t="shared" si="0"/>
        <v>1.3899254891753962E-4</v>
      </c>
    </row>
    <row r="56" spans="3:6" x14ac:dyDescent="0.3">
      <c r="C56">
        <v>26</v>
      </c>
      <c r="D56">
        <f t="shared" si="1"/>
        <v>56.022748641262659</v>
      </c>
      <c r="E56">
        <f t="shared" ref="E56" si="17">SQRT($I$5*$I$6/$I$7)*TANH(SQRT($I$5*$I$7/$I$6)*C56)</f>
        <v>56.016110524471635</v>
      </c>
      <c r="F56">
        <f t="shared" ref="F56" si="18">ABS(D56-E56)/D56</f>
        <v>1.1848966628771342E-4</v>
      </c>
    </row>
  </sheetData>
  <mergeCells count="4">
    <mergeCell ref="B1:C1"/>
    <mergeCell ref="T3:W3"/>
    <mergeCell ref="O3:R3"/>
    <mergeCell ref="C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H34"/>
  <sheetViews>
    <sheetView topLeftCell="A17" zoomScale="70" zoomScaleNormal="70" workbookViewId="0">
      <selection activeCell="E35" sqref="E35:H66"/>
    </sheetView>
  </sheetViews>
  <sheetFormatPr defaultRowHeight="15.6" x14ac:dyDescent="0.3"/>
  <cols>
    <col min="6" max="6" width="10.796875" customWidth="1"/>
    <col min="7" max="7" width="10.296875" customWidth="1"/>
  </cols>
  <sheetData>
    <row r="5" spans="2:8" x14ac:dyDescent="0.3">
      <c r="B5" t="s">
        <v>10</v>
      </c>
      <c r="C5">
        <v>2</v>
      </c>
      <c r="E5" t="s">
        <v>0</v>
      </c>
      <c r="F5" t="s">
        <v>11</v>
      </c>
      <c r="G5" t="s">
        <v>12</v>
      </c>
      <c r="H5" t="s">
        <v>13</v>
      </c>
    </row>
    <row r="6" spans="2:8" x14ac:dyDescent="0.3">
      <c r="B6" t="s">
        <v>7</v>
      </c>
      <c r="C6">
        <v>20</v>
      </c>
      <c r="E6">
        <v>0</v>
      </c>
      <c r="F6">
        <v>70</v>
      </c>
      <c r="G6">
        <v>70</v>
      </c>
      <c r="H6">
        <f>ABS(F6-G6)/F6</f>
        <v>0</v>
      </c>
    </row>
    <row r="7" spans="2:8" x14ac:dyDescent="0.3">
      <c r="B7" t="s">
        <v>8</v>
      </c>
      <c r="C7">
        <v>0.19</v>
      </c>
      <c r="E7">
        <f>E6+$C$5</f>
        <v>2</v>
      </c>
      <c r="F7">
        <f>F6-($C$7)*(E7-E6)*(F6-$C$6)</f>
        <v>51</v>
      </c>
      <c r="G7">
        <f>$C$6 + EXP((-$C$7)*E7)*$C$8</f>
        <v>54.19307046061779</v>
      </c>
      <c r="H7">
        <f t="shared" ref="H7:H66" si="0">ABS(F7-G7)/F7</f>
        <v>6.2609224717995876E-2</v>
      </c>
    </row>
    <row r="8" spans="2:8" x14ac:dyDescent="0.3">
      <c r="B8" t="s">
        <v>9</v>
      </c>
      <c r="C8">
        <v>50</v>
      </c>
      <c r="E8">
        <f t="shared" ref="E8:E66" si="1">E7+$C$5</f>
        <v>4</v>
      </c>
      <c r="F8">
        <f t="shared" ref="F8:F66" si="2">F7-($C$7)*(E8-E7)*(F7-$C$6)</f>
        <v>39.22</v>
      </c>
      <c r="G8">
        <f t="shared" ref="G8:G66" si="3">$C$6 + EXP((-$C$7)*E8)*$C$8</f>
        <v>43.383321350495464</v>
      </c>
      <c r="H8">
        <f t="shared" si="0"/>
        <v>0.10615301760569774</v>
      </c>
    </row>
    <row r="9" spans="2:8" x14ac:dyDescent="0.3">
      <c r="E9">
        <f t="shared" si="1"/>
        <v>6</v>
      </c>
      <c r="F9">
        <f t="shared" si="2"/>
        <v>31.916399999999999</v>
      </c>
      <c r="G9">
        <f t="shared" si="3"/>
        <v>35.990951090815194</v>
      </c>
      <c r="H9">
        <f t="shared" si="0"/>
        <v>0.12766324180719615</v>
      </c>
    </row>
    <row r="10" spans="2:8" x14ac:dyDescent="0.3">
      <c r="E10">
        <f t="shared" si="1"/>
        <v>8</v>
      </c>
      <c r="F10">
        <f t="shared" si="2"/>
        <v>27.388168</v>
      </c>
      <c r="G10">
        <f t="shared" si="3"/>
        <v>30.935594347610738</v>
      </c>
      <c r="H10">
        <f t="shared" si="0"/>
        <v>0.1295240465740804</v>
      </c>
    </row>
    <row r="11" spans="2:8" x14ac:dyDescent="0.3">
      <c r="E11">
        <f t="shared" si="1"/>
        <v>10</v>
      </c>
      <c r="F11">
        <f t="shared" si="2"/>
        <v>24.580664160000001</v>
      </c>
      <c r="G11">
        <f t="shared" si="3"/>
        <v>27.478430961131753</v>
      </c>
      <c r="H11">
        <f t="shared" si="0"/>
        <v>0.11788805958495109</v>
      </c>
    </row>
    <row r="12" spans="2:8" x14ac:dyDescent="0.3">
      <c r="E12">
        <f t="shared" si="1"/>
        <v>12</v>
      </c>
      <c r="F12">
        <f t="shared" si="2"/>
        <v>22.840011779200001</v>
      </c>
      <c r="G12">
        <f t="shared" si="3"/>
        <v>25.114210335776871</v>
      </c>
      <c r="H12">
        <f t="shared" si="0"/>
        <v>9.9570813647650691E-2</v>
      </c>
    </row>
    <row r="13" spans="2:8" x14ac:dyDescent="0.3">
      <c r="E13">
        <f t="shared" si="1"/>
        <v>14</v>
      </c>
      <c r="F13">
        <f t="shared" si="2"/>
        <v>21.760807303104002</v>
      </c>
      <c r="G13">
        <f t="shared" si="3"/>
        <v>23.497411087232766</v>
      </c>
      <c r="H13">
        <f t="shared" si="0"/>
        <v>7.9804198435278265E-2</v>
      </c>
    </row>
    <row r="14" spans="2:8" x14ac:dyDescent="0.3">
      <c r="E14">
        <f t="shared" si="1"/>
        <v>16</v>
      </c>
      <c r="F14">
        <f t="shared" si="2"/>
        <v>21.09170052792448</v>
      </c>
      <c r="G14">
        <f t="shared" si="3"/>
        <v>22.391744474709917</v>
      </c>
      <c r="H14">
        <f t="shared" si="0"/>
        <v>6.1637701761611659E-2</v>
      </c>
    </row>
    <row r="15" spans="2:8" x14ac:dyDescent="0.3">
      <c r="E15">
        <f t="shared" si="1"/>
        <v>18</v>
      </c>
      <c r="F15">
        <f t="shared" si="2"/>
        <v>20.676854327313176</v>
      </c>
      <c r="G15">
        <f t="shared" si="3"/>
        <v>21.635621746950992</v>
      </c>
      <c r="H15">
        <f t="shared" si="0"/>
        <v>4.6369114201831381E-2</v>
      </c>
    </row>
    <row r="16" spans="2:8" x14ac:dyDescent="0.3">
      <c r="E16">
        <f t="shared" si="1"/>
        <v>20</v>
      </c>
      <c r="F16">
        <f t="shared" si="2"/>
        <v>20.419649682934168</v>
      </c>
      <c r="G16">
        <f t="shared" si="3"/>
        <v>21.118538592808282</v>
      </c>
      <c r="H16">
        <f t="shared" si="0"/>
        <v>3.4226292846650262E-2</v>
      </c>
    </row>
    <row r="17" spans="5:8" x14ac:dyDescent="0.3">
      <c r="E17">
        <f t="shared" si="1"/>
        <v>22</v>
      </c>
      <c r="F17">
        <f t="shared" si="2"/>
        <v>20.260182803419184</v>
      </c>
      <c r="G17">
        <f t="shared" si="3"/>
        <v>20.764925378336276</v>
      </c>
      <c r="H17">
        <f t="shared" si="0"/>
        <v>2.4913031625356793E-2</v>
      </c>
    </row>
    <row r="18" spans="5:8" x14ac:dyDescent="0.3">
      <c r="E18">
        <f t="shared" si="1"/>
        <v>24</v>
      </c>
      <c r="F18">
        <f t="shared" si="2"/>
        <v>20.161313338119893</v>
      </c>
      <c r="G18">
        <f t="shared" si="3"/>
        <v>20.523102947171338</v>
      </c>
      <c r="H18">
        <f t="shared" si="0"/>
        <v>1.7944744123756757E-2</v>
      </c>
    </row>
    <row r="19" spans="5:8" x14ac:dyDescent="0.3">
      <c r="E19">
        <f t="shared" si="1"/>
        <v>26</v>
      </c>
      <c r="F19">
        <f t="shared" si="2"/>
        <v>20.100014269634332</v>
      </c>
      <c r="G19">
        <f t="shared" si="3"/>
        <v>20.357729918615728</v>
      </c>
      <c r="H19">
        <f t="shared" si="0"/>
        <v>1.282166497616543E-2</v>
      </c>
    </row>
    <row r="20" spans="5:8" x14ac:dyDescent="0.3">
      <c r="E20">
        <f t="shared" si="1"/>
        <v>28</v>
      </c>
      <c r="F20">
        <f t="shared" si="2"/>
        <v>20.062008847173285</v>
      </c>
      <c r="G20">
        <f t="shared" si="3"/>
        <v>20.244637686261974</v>
      </c>
      <c r="H20">
        <f t="shared" si="0"/>
        <v>9.10321795189626E-3</v>
      </c>
    </row>
    <row r="21" spans="5:8" x14ac:dyDescent="0.3">
      <c r="E21">
        <f t="shared" si="1"/>
        <v>30</v>
      </c>
      <c r="F21">
        <f t="shared" si="2"/>
        <v>20.038445485247436</v>
      </c>
      <c r="G21">
        <f t="shared" si="3"/>
        <v>20.167298272873563</v>
      </c>
      <c r="H21">
        <f t="shared" si="0"/>
        <v>6.4302786222109583E-3</v>
      </c>
    </row>
    <row r="22" spans="5:8" x14ac:dyDescent="0.3">
      <c r="E22">
        <f t="shared" si="1"/>
        <v>32</v>
      </c>
      <c r="F22">
        <f t="shared" si="2"/>
        <v>20.02383620085341</v>
      </c>
      <c r="G22">
        <f t="shared" si="3"/>
        <v>20.114408832646109</v>
      </c>
      <c r="H22">
        <f t="shared" si="0"/>
        <v>4.5232407458886239E-3</v>
      </c>
    </row>
    <row r="23" spans="5:8" x14ac:dyDescent="0.3">
      <c r="E23">
        <f t="shared" si="1"/>
        <v>34</v>
      </c>
      <c r="F23">
        <f t="shared" si="2"/>
        <v>20.014778444529114</v>
      </c>
      <c r="G23">
        <f t="shared" si="3"/>
        <v>20.07823978551971</v>
      </c>
      <c r="H23">
        <f t="shared" si="0"/>
        <v>3.1707241309954465E-3</v>
      </c>
    </row>
    <row r="24" spans="5:8" x14ac:dyDescent="0.3">
      <c r="E24">
        <f t="shared" si="1"/>
        <v>36</v>
      </c>
      <c r="F24">
        <f t="shared" si="2"/>
        <v>20.00916263560805</v>
      </c>
      <c r="G24">
        <f t="shared" si="3"/>
        <v>20.053505169981982</v>
      </c>
      <c r="H24">
        <f t="shared" si="0"/>
        <v>2.2161114476135393E-3</v>
      </c>
    </row>
    <row r="25" spans="5:8" x14ac:dyDescent="0.3">
      <c r="E25">
        <f t="shared" si="1"/>
        <v>38</v>
      </c>
      <c r="F25">
        <f t="shared" si="2"/>
        <v>20.00568083407699</v>
      </c>
      <c r="G25">
        <f t="shared" si="3"/>
        <v>20.036590120944023</v>
      </c>
      <c r="H25">
        <f t="shared" si="0"/>
        <v>1.545025491678485E-3</v>
      </c>
    </row>
    <row r="26" spans="5:8" x14ac:dyDescent="0.3">
      <c r="E26">
        <f t="shared" si="1"/>
        <v>40</v>
      </c>
      <c r="F26">
        <f t="shared" si="2"/>
        <v>20.003522117127734</v>
      </c>
      <c r="G26">
        <f t="shared" si="3"/>
        <v>20.025022571672032</v>
      </c>
      <c r="H26">
        <f t="shared" si="0"/>
        <v>1.0748334427510273E-3</v>
      </c>
    </row>
    <row r="27" spans="5:8" x14ac:dyDescent="0.3">
      <c r="E27">
        <f t="shared" si="1"/>
        <v>42</v>
      </c>
      <c r="F27">
        <f t="shared" si="2"/>
        <v>20.002183712619196</v>
      </c>
      <c r="G27">
        <f t="shared" si="3"/>
        <v>20.01711197112575</v>
      </c>
      <c r="H27">
        <f t="shared" si="0"/>
        <v>7.4633143665889397E-4</v>
      </c>
    </row>
    <row r="28" spans="5:8" x14ac:dyDescent="0.3">
      <c r="E28">
        <f t="shared" si="1"/>
        <v>44</v>
      </c>
      <c r="F28">
        <f t="shared" si="2"/>
        <v>20.001353901823901</v>
      </c>
      <c r="G28">
        <f t="shared" si="3"/>
        <v>20.011702216688459</v>
      </c>
      <c r="H28">
        <f t="shared" si="0"/>
        <v>5.1738071909293874E-4</v>
      </c>
    </row>
    <row r="29" spans="5:8" x14ac:dyDescent="0.3">
      <c r="E29">
        <f t="shared" si="1"/>
        <v>46</v>
      </c>
      <c r="F29">
        <f t="shared" si="2"/>
        <v>20.00083941913082</v>
      </c>
      <c r="G29">
        <f t="shared" si="3"/>
        <v>20.008002694395476</v>
      </c>
      <c r="H29">
        <f t="shared" si="0"/>
        <v>3.5814873138794801E-4</v>
      </c>
    </row>
    <row r="30" spans="5:8" x14ac:dyDescent="0.3">
      <c r="E30">
        <f t="shared" si="1"/>
        <v>48</v>
      </c>
      <c r="F30">
        <f t="shared" si="2"/>
        <v>20.000520439861109</v>
      </c>
      <c r="G30">
        <f t="shared" si="3"/>
        <v>20.005472733866785</v>
      </c>
      <c r="H30">
        <f t="shared" si="0"/>
        <v>2.4760825702345999E-4</v>
      </c>
    </row>
    <row r="31" spans="5:8" x14ac:dyDescent="0.3">
      <c r="E31">
        <f t="shared" si="1"/>
        <v>50</v>
      </c>
      <c r="F31">
        <f t="shared" si="2"/>
        <v>20.000322672713889</v>
      </c>
      <c r="G31">
        <f t="shared" si="3"/>
        <v>20.003742591494387</v>
      </c>
      <c r="H31">
        <f t="shared" si="0"/>
        <v>1.7099318028322136E-4</v>
      </c>
    </row>
    <row r="32" spans="5:8" x14ac:dyDescent="0.3">
      <c r="E32">
        <f t="shared" si="1"/>
        <v>52</v>
      </c>
      <c r="F32">
        <f t="shared" si="2"/>
        <v>20.000200057082612</v>
      </c>
      <c r="G32">
        <f t="shared" si="3"/>
        <v>20.002559413893458</v>
      </c>
      <c r="H32">
        <f t="shared" si="0"/>
        <v>1.1796666053900139E-4</v>
      </c>
    </row>
    <row r="33" spans="5:8" x14ac:dyDescent="0.3">
      <c r="E33">
        <f t="shared" si="1"/>
        <v>54</v>
      </c>
      <c r="F33">
        <f t="shared" si="2"/>
        <v>20.00012403539122</v>
      </c>
      <c r="G33">
        <f t="shared" si="3"/>
        <v>20.001750284391935</v>
      </c>
      <c r="H33">
        <f t="shared" si="0"/>
        <v>8.1311945757803013E-5</v>
      </c>
    </row>
    <row r="34" spans="5:8" x14ac:dyDescent="0.3">
      <c r="E34">
        <f t="shared" si="1"/>
        <v>56</v>
      </c>
      <c r="F34">
        <f t="shared" si="2"/>
        <v>20.000076901942556</v>
      </c>
      <c r="G34">
        <f t="shared" si="3"/>
        <v>20.001196951950792</v>
      </c>
      <c r="H34">
        <f t="shared" si="0"/>
        <v>5.6002285077574824E-5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23BME013RusheelA</dc:creator>
  <cp:lastModifiedBy>Harshvardhan Shah</cp:lastModifiedBy>
  <dcterms:created xsi:type="dcterms:W3CDTF">2026-01-06T17:39:54Z</dcterms:created>
  <dcterms:modified xsi:type="dcterms:W3CDTF">2026-01-09T02:18:25Z</dcterms:modified>
</cp:coreProperties>
</file>